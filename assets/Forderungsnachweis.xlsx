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Documents\Gleito\assets\"/>
    </mc:Choice>
  </mc:AlternateContent>
  <xr:revisionPtr revIDLastSave="0" documentId="13_ncr:1_{8BFECD74-06C9-4B3A-8864-EF85507C25C3}" xr6:coauthVersionLast="47" xr6:coauthVersionMax="47" xr10:uidLastSave="{00000000-0000-0000-0000-000000000000}"/>
  <bookViews>
    <workbookView xWindow="-23148" yWindow="-108" windowWidth="23256" windowHeight="12456" xr2:uid="{EC0799A1-6B2F-4A05-AFF6-AAF01FD354B8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46" i="1" l="1"/>
  <c r="AK46" i="1"/>
  <c r="AI46" i="1"/>
  <c r="AG46" i="1"/>
  <c r="AE46" i="1"/>
  <c r="AD46" i="1"/>
  <c r="AC46" i="1"/>
  <c r="AB46" i="1"/>
  <c r="AA46" i="1"/>
  <c r="Z46" i="1"/>
  <c r="Y46" i="1"/>
  <c r="X46" i="1"/>
  <c r="V46" i="1"/>
  <c r="U46" i="1"/>
  <c r="T46" i="1"/>
  <c r="S46" i="1"/>
  <c r="R46" i="1"/>
  <c r="Q46" i="1"/>
  <c r="P46" i="1"/>
  <c r="M46" i="1"/>
  <c r="F46" i="1"/>
  <c r="E46" i="1"/>
  <c r="O45" i="1"/>
  <c r="N45" i="1"/>
  <c r="J45" i="1"/>
  <c r="I45" i="1"/>
  <c r="G45" i="1"/>
  <c r="D45" i="1"/>
  <c r="C45" i="1"/>
  <c r="W45" i="1"/>
  <c r="O44" i="1"/>
  <c r="N44" i="1"/>
  <c r="J44" i="1"/>
  <c r="I44" i="1"/>
  <c r="G44" i="1"/>
  <c r="D44" i="1"/>
  <c r="C44" i="1"/>
  <c r="W44" i="1"/>
  <c r="O43" i="1"/>
  <c r="N43" i="1"/>
  <c r="J43" i="1"/>
  <c r="I43" i="1"/>
  <c r="G43" i="1"/>
  <c r="D43" i="1"/>
  <c r="C43" i="1"/>
  <c r="W43" i="1"/>
  <c r="O42" i="1"/>
  <c r="N42" i="1"/>
  <c r="J42" i="1"/>
  <c r="I42" i="1"/>
  <c r="G42" i="1"/>
  <c r="D42" i="1"/>
  <c r="C42" i="1"/>
  <c r="W42" i="1"/>
  <c r="O41" i="1"/>
  <c r="N41" i="1"/>
  <c r="J41" i="1"/>
  <c r="I41" i="1"/>
  <c r="G41" i="1"/>
  <c r="D41" i="1"/>
  <c r="C41" i="1"/>
  <c r="W41" i="1"/>
  <c r="O40" i="1"/>
  <c r="N40" i="1"/>
  <c r="J40" i="1"/>
  <c r="I40" i="1"/>
  <c r="G40" i="1"/>
  <c r="D40" i="1"/>
  <c r="C40" i="1"/>
  <c r="W40" i="1"/>
  <c r="O39" i="1"/>
  <c r="N39" i="1"/>
  <c r="J39" i="1"/>
  <c r="I39" i="1"/>
  <c r="G39" i="1"/>
  <c r="D39" i="1"/>
  <c r="C39" i="1"/>
  <c r="W39" i="1"/>
  <c r="O38" i="1"/>
  <c r="N38" i="1"/>
  <c r="J38" i="1"/>
  <c r="I38" i="1"/>
  <c r="G38" i="1"/>
  <c r="D38" i="1"/>
  <c r="C38" i="1"/>
  <c r="W38" i="1"/>
  <c r="O37" i="1"/>
  <c r="N37" i="1"/>
  <c r="J37" i="1"/>
  <c r="I37" i="1"/>
  <c r="G37" i="1"/>
  <c r="D37" i="1"/>
  <c r="C37" i="1"/>
  <c r="W37" i="1"/>
  <c r="O36" i="1"/>
  <c r="N36" i="1"/>
  <c r="J36" i="1"/>
  <c r="I36" i="1"/>
  <c r="G36" i="1"/>
  <c r="D36" i="1"/>
  <c r="C36" i="1"/>
  <c r="W36" i="1"/>
  <c r="O35" i="1"/>
  <c r="N35" i="1"/>
  <c r="J35" i="1"/>
  <c r="I35" i="1"/>
  <c r="G35" i="1"/>
  <c r="D35" i="1"/>
  <c r="C35" i="1"/>
  <c r="W35" i="1"/>
  <c r="O34" i="1"/>
  <c r="N34" i="1"/>
  <c r="J34" i="1"/>
  <c r="I34" i="1"/>
  <c r="G34" i="1"/>
  <c r="D34" i="1"/>
  <c r="C34" i="1"/>
  <c r="W34" i="1"/>
  <c r="O33" i="1"/>
  <c r="N33" i="1"/>
  <c r="J33" i="1"/>
  <c r="I33" i="1"/>
  <c r="G33" i="1"/>
  <c r="D33" i="1"/>
  <c r="C33" i="1"/>
  <c r="W33" i="1"/>
  <c r="O32" i="1"/>
  <c r="N32" i="1"/>
  <c r="J32" i="1"/>
  <c r="I32" i="1"/>
  <c r="G32" i="1"/>
  <c r="D32" i="1"/>
  <c r="C32" i="1"/>
  <c r="W32" i="1"/>
  <c r="O31" i="1"/>
  <c r="N31" i="1"/>
  <c r="J31" i="1"/>
  <c r="I31" i="1"/>
  <c r="G31" i="1"/>
  <c r="D31" i="1"/>
  <c r="C31" i="1"/>
  <c r="W31" i="1"/>
  <c r="O30" i="1"/>
  <c r="N30" i="1"/>
  <c r="J30" i="1"/>
  <c r="I30" i="1"/>
  <c r="G30" i="1"/>
  <c r="D30" i="1"/>
  <c r="C30" i="1"/>
  <c r="W30" i="1"/>
  <c r="O29" i="1"/>
  <c r="N29" i="1"/>
  <c r="J29" i="1"/>
  <c r="I29" i="1"/>
  <c r="G29" i="1"/>
  <c r="D29" i="1"/>
  <c r="C29" i="1"/>
  <c r="W29" i="1"/>
  <c r="O28" i="1"/>
  <c r="N28" i="1"/>
  <c r="J28" i="1"/>
  <c r="I28" i="1"/>
  <c r="G28" i="1"/>
  <c r="D28" i="1"/>
  <c r="C28" i="1"/>
  <c r="W28" i="1"/>
  <c r="O27" i="1"/>
  <c r="N27" i="1"/>
  <c r="J27" i="1"/>
  <c r="I27" i="1"/>
  <c r="G27" i="1"/>
  <c r="D27" i="1"/>
  <c r="C27" i="1"/>
  <c r="W27" i="1"/>
  <c r="O26" i="1"/>
  <c r="N26" i="1"/>
  <c r="J26" i="1"/>
  <c r="I26" i="1"/>
  <c r="G26" i="1"/>
  <c r="D26" i="1"/>
  <c r="C26" i="1"/>
  <c r="W26" i="1"/>
  <c r="O25" i="1"/>
  <c r="N25" i="1"/>
  <c r="J25" i="1"/>
  <c r="I25" i="1"/>
  <c r="G25" i="1"/>
  <c r="D25" i="1"/>
  <c r="C25" i="1"/>
  <c r="W25" i="1"/>
  <c r="O24" i="1"/>
  <c r="N24" i="1"/>
  <c r="J24" i="1"/>
  <c r="I24" i="1"/>
  <c r="G24" i="1"/>
  <c r="D24" i="1"/>
  <c r="C24" i="1"/>
  <c r="W24" i="1"/>
  <c r="O23" i="1"/>
  <c r="N23" i="1"/>
  <c r="J23" i="1"/>
  <c r="I23" i="1"/>
  <c r="G23" i="1"/>
  <c r="D23" i="1"/>
  <c r="C23" i="1"/>
  <c r="W23" i="1"/>
  <c r="O22" i="1"/>
  <c r="N22" i="1"/>
  <c r="J22" i="1"/>
  <c r="I22" i="1"/>
  <c r="G22" i="1"/>
  <c r="D22" i="1"/>
  <c r="C22" i="1"/>
  <c r="W22" i="1"/>
  <c r="W21" i="1"/>
  <c r="O21" i="1"/>
  <c r="N21" i="1"/>
  <c r="L21" i="1"/>
  <c r="J21" i="1"/>
  <c r="I21" i="1"/>
  <c r="G21" i="1"/>
  <c r="D21" i="1"/>
  <c r="C21" i="1"/>
  <c r="O20" i="1"/>
  <c r="N20" i="1"/>
  <c r="J20" i="1"/>
  <c r="I20" i="1"/>
  <c r="G20" i="1"/>
  <c r="D20" i="1"/>
  <c r="C20" i="1"/>
  <c r="W20" i="1"/>
  <c r="O19" i="1"/>
  <c r="N19" i="1"/>
  <c r="J19" i="1"/>
  <c r="I19" i="1"/>
  <c r="G19" i="1"/>
  <c r="D19" i="1"/>
  <c r="C19" i="1"/>
  <c r="W19" i="1"/>
  <c r="O18" i="1"/>
  <c r="N18" i="1"/>
  <c r="J18" i="1"/>
  <c r="I18" i="1"/>
  <c r="G18" i="1"/>
  <c r="D18" i="1"/>
  <c r="C18" i="1"/>
  <c r="W18" i="1"/>
  <c r="O17" i="1"/>
  <c r="N17" i="1"/>
  <c r="J17" i="1"/>
  <c r="I17" i="1"/>
  <c r="G17" i="1"/>
  <c r="D17" i="1"/>
  <c r="C17" i="1"/>
  <c r="W17" i="1"/>
  <c r="O16" i="1"/>
  <c r="N16" i="1"/>
  <c r="J16" i="1"/>
  <c r="I16" i="1"/>
  <c r="G16" i="1"/>
  <c r="D16" i="1"/>
  <c r="C16" i="1"/>
  <c r="W16" i="1"/>
  <c r="O15" i="1"/>
  <c r="O46" i="1" s="1"/>
  <c r="N15" i="1"/>
  <c r="N46" i="1" s="1"/>
  <c r="J15" i="1"/>
  <c r="J46" i="1" s="1"/>
  <c r="I15" i="1"/>
  <c r="I46" i="1" s="1"/>
  <c r="G15" i="1"/>
  <c r="G46" i="1" s="1"/>
  <c r="D15" i="1"/>
  <c r="C15" i="1"/>
  <c r="W15" i="1"/>
  <c r="A14" i="1"/>
  <c r="K12" i="1"/>
  <c r="AK9" i="1"/>
  <c r="AK8" i="1"/>
  <c r="AK7" i="1"/>
  <c r="W46" i="1" l="1"/>
  <c r="L45" i="1"/>
  <c r="K45" i="1"/>
  <c r="H45" i="1"/>
  <c r="K44" i="1"/>
  <c r="L44" i="1"/>
  <c r="H44" i="1"/>
  <c r="L43" i="1"/>
  <c r="K43" i="1"/>
  <c r="H43" i="1"/>
  <c r="H42" i="1"/>
  <c r="L42" i="1"/>
  <c r="K42" i="1"/>
  <c r="K41" i="1"/>
  <c r="L41" i="1"/>
  <c r="H41" i="1"/>
  <c r="K40" i="1"/>
  <c r="L40" i="1"/>
  <c r="H40" i="1"/>
  <c r="L39" i="1"/>
  <c r="K39" i="1"/>
  <c r="H39" i="1"/>
  <c r="L38" i="1"/>
  <c r="K38" i="1"/>
  <c r="H38" i="1"/>
  <c r="H37" i="1"/>
  <c r="L37" i="1"/>
  <c r="K37" i="1"/>
  <c r="H36" i="1"/>
  <c r="K36" i="1"/>
  <c r="L36" i="1"/>
  <c r="H35" i="1"/>
  <c r="K35" i="1"/>
  <c r="L35" i="1"/>
  <c r="H34" i="1"/>
  <c r="L34" i="1"/>
  <c r="K34" i="1"/>
  <c r="L33" i="1"/>
  <c r="K33" i="1"/>
  <c r="H33" i="1"/>
  <c r="H32" i="1"/>
  <c r="K32" i="1"/>
  <c r="L32" i="1"/>
  <c r="H31" i="1"/>
  <c r="K31" i="1"/>
  <c r="L31" i="1"/>
  <c r="L30" i="1"/>
  <c r="K30" i="1"/>
  <c r="H30" i="1"/>
  <c r="H29" i="1"/>
  <c r="K29" i="1"/>
  <c r="L29" i="1"/>
  <c r="L28" i="1"/>
  <c r="K28" i="1"/>
  <c r="H28" i="1"/>
  <c r="H27" i="1"/>
  <c r="L27" i="1"/>
  <c r="K27" i="1"/>
  <c r="H26" i="1"/>
  <c r="L26" i="1"/>
  <c r="K26" i="1"/>
  <c r="L25" i="1"/>
  <c r="K25" i="1"/>
  <c r="H25" i="1"/>
  <c r="L24" i="1"/>
  <c r="K24" i="1"/>
  <c r="H24" i="1"/>
  <c r="H23" i="1"/>
  <c r="K23" i="1"/>
  <c r="L23" i="1"/>
  <c r="H22" i="1"/>
  <c r="L22" i="1"/>
  <c r="K22" i="1"/>
  <c r="H21" i="1"/>
  <c r="K21" i="1"/>
  <c r="H20" i="1"/>
  <c r="K20" i="1"/>
  <c r="L20" i="1"/>
  <c r="H19" i="1"/>
  <c r="K19" i="1"/>
  <c r="L19" i="1"/>
  <c r="K18" i="1"/>
  <c r="L18" i="1"/>
  <c r="H18" i="1"/>
  <c r="K17" i="1"/>
  <c r="L17" i="1"/>
  <c r="H17" i="1"/>
  <c r="K16" i="1"/>
  <c r="L16" i="1"/>
  <c r="H16" i="1"/>
  <c r="H15" i="1"/>
  <c r="H46" i="1" s="1"/>
  <c r="K15" i="1"/>
  <c r="K46" i="1" s="1"/>
  <c r="L15" i="1"/>
  <c r="L46" i="1" s="1"/>
</calcChain>
</file>

<file path=xl/sharedStrings.xml><?xml version="1.0" encoding="utf-8"?>
<sst xmlns="http://schemas.openxmlformats.org/spreadsheetml/2006/main" count="134" uniqueCount="88">
  <si>
    <t>Forderungsnachweis
Beschäftigte</t>
  </si>
  <si>
    <t>Überstd.</t>
  </si>
  <si>
    <t>Zeitzuschläge</t>
  </si>
  <si>
    <t>Bereitschaft</t>
  </si>
  <si>
    <t>Sonstiges</t>
  </si>
  <si>
    <t>Variable Felder</t>
  </si>
  <si>
    <r>
      <t xml:space="preserve">geleistete Überstunden
 </t>
    </r>
    <r>
      <rPr>
        <b/>
        <sz val="10"/>
        <rFont val="MS Sans Serif"/>
      </rPr>
      <t>ohne</t>
    </r>
    <r>
      <rPr>
        <sz val="11"/>
        <color theme="1"/>
        <rFont val="Aptos Narrow"/>
        <family val="2"/>
        <scheme val="minor"/>
      </rPr>
      <t xml:space="preserve"> Freizeitausgleich</t>
    </r>
  </si>
  <si>
    <t>Zeitzuschlag Überstunden</t>
  </si>
  <si>
    <t>Nachtarbeit
21:00 - 06:00 Uhr</t>
  </si>
  <si>
    <t>Sonntagsarbeit
00:00 - 24:00 Uhr</t>
  </si>
  <si>
    <t>Samstagsarbeit
13:00 - 20:00 Uhr</t>
  </si>
  <si>
    <t>Samstagsarbeit
20:00 - 21:00 Uhr</t>
  </si>
  <si>
    <r>
      <t xml:space="preserve">Gesetzliche Feiertage </t>
    </r>
    <r>
      <rPr>
        <b/>
        <sz val="10"/>
        <rFont val="MS Sans Serif"/>
      </rPr>
      <t>ohne</t>
    </r>
    <r>
      <rPr>
        <sz val="11"/>
        <color theme="1"/>
        <rFont val="Aptos Narrow"/>
        <family val="2"/>
        <scheme val="minor"/>
      </rPr>
      <t xml:space="preserve"> Freizeit
00:00 - 24:00 Uhr</t>
    </r>
  </si>
  <si>
    <r>
      <t xml:space="preserve">Gesetzliche Feiertage
 </t>
    </r>
    <r>
      <rPr>
        <b/>
        <sz val="10"/>
        <rFont val="MS Sans Serif"/>
      </rPr>
      <t>mit</t>
    </r>
    <r>
      <rPr>
        <sz val="11"/>
        <color theme="1"/>
        <rFont val="Aptos Narrow"/>
        <family val="2"/>
        <scheme val="minor"/>
      </rPr>
      <t xml:space="preserve"> Freizeit
00:00 - 24:00 Uhr</t>
    </r>
  </si>
  <si>
    <t>Arbeit am 24.12 und 
31.12
06:00 - 24:00 Uhr</t>
  </si>
  <si>
    <t>Rufbereitschaft</t>
  </si>
  <si>
    <t>Winterdienst</t>
  </si>
  <si>
    <t>Arbeitseinsatz
w. Bereitschaft</t>
  </si>
  <si>
    <r>
      <t xml:space="preserve">Mehrarbeit </t>
    </r>
    <r>
      <rPr>
        <b/>
        <sz val="10"/>
        <rFont val="MS Sans Serif"/>
      </rPr>
      <t>Nichtvollbeschäftigte</t>
    </r>
  </si>
  <si>
    <t>Essenentschädigung</t>
  </si>
  <si>
    <t>Feldaufwands-
entschädigung</t>
  </si>
  <si>
    <t>3F9I Vorarbeiterinnen-Vertretung 10%
91C1 Entfernungszuschlag Arbeiter
3E73 Schichtzulage stündlich
3E77 Wechselschichtzulage stündlich
9531 Stundenvergütung Hausmeister 100% FB 40
98A3 Reisekostenabfindung FB 58</t>
  </si>
  <si>
    <t>Tag</t>
  </si>
  <si>
    <t>Beginn</t>
  </si>
  <si>
    <t>Ende</t>
  </si>
  <si>
    <r>
      <rPr>
        <b/>
        <sz val="10"/>
        <rFont val="MS Sans Serif"/>
      </rPr>
      <t>über</t>
    </r>
    <r>
      <rPr>
        <sz val="11"/>
        <color theme="1"/>
        <rFont val="Aptos Narrow"/>
        <family val="2"/>
        <scheme val="minor"/>
      </rPr>
      <t xml:space="preserve"> 12 Stunden
ununterbrochene Dauer
(Montag - Freitag)</t>
    </r>
  </si>
  <si>
    <r>
      <rPr>
        <b/>
        <sz val="10"/>
        <rFont val="MS Sans Serif"/>
      </rPr>
      <t>über</t>
    </r>
    <r>
      <rPr>
        <sz val="11"/>
        <color theme="1"/>
        <rFont val="Aptos Narrow"/>
        <family val="2"/>
        <scheme val="minor"/>
      </rPr>
      <t xml:space="preserve"> 12 Stunden
ununterbrochene Dauer
(Samstag, Sonntag, Feiertag)</t>
    </r>
  </si>
  <si>
    <r>
      <rPr>
        <b/>
        <sz val="10"/>
        <rFont val="MS Sans Serif"/>
      </rPr>
      <t>unter</t>
    </r>
    <r>
      <rPr>
        <sz val="11"/>
        <color theme="1"/>
        <rFont val="Aptos Narrow"/>
        <family val="2"/>
        <scheme val="minor"/>
      </rPr>
      <t xml:space="preserve"> 12 Stunden
ununterbrochene Dauer</t>
    </r>
  </si>
  <si>
    <r>
      <rPr>
        <b/>
        <sz val="10"/>
        <rFont val="MS Sans Serif"/>
      </rPr>
      <t xml:space="preserve">über </t>
    </r>
    <r>
      <rPr>
        <sz val="11"/>
        <color theme="1"/>
        <rFont val="Aptos Narrow"/>
        <family val="2"/>
        <scheme val="minor"/>
      </rPr>
      <t>12 Stunden
ununterbrochene Dauer
(Montag - Freitag)</t>
    </r>
  </si>
  <si>
    <r>
      <rPr>
        <b/>
        <sz val="10"/>
        <rFont val="MS Sans Serif"/>
      </rPr>
      <t xml:space="preserve">über </t>
    </r>
    <r>
      <rPr>
        <sz val="11"/>
        <color theme="1"/>
        <rFont val="Aptos Narrow"/>
        <family val="2"/>
        <scheme val="minor"/>
      </rPr>
      <t>12 Stunden
ununterbrochene Dauer 
(Samstag, Sonntag, Feiertag)</t>
    </r>
  </si>
  <si>
    <r>
      <rPr>
        <b/>
        <sz val="10"/>
        <rFont val="MS Sans Serif"/>
      </rPr>
      <t xml:space="preserve">unter </t>
    </r>
    <r>
      <rPr>
        <sz val="11"/>
        <color theme="1"/>
        <rFont val="Aptos Narrow"/>
        <family val="2"/>
        <scheme val="minor"/>
      </rPr>
      <t>12 Stunden
ununterbrochene Dauer</t>
    </r>
  </si>
  <si>
    <r>
      <t xml:space="preserve">Überstunden </t>
    </r>
    <r>
      <rPr>
        <b/>
        <sz val="10"/>
        <rFont val="MS Sans Serif"/>
      </rPr>
      <t>ohne</t>
    </r>
    <r>
      <rPr>
        <sz val="11"/>
        <color theme="1"/>
        <rFont val="Aptos Narrow"/>
        <family val="2"/>
        <scheme val="minor"/>
      </rPr>
      <t xml:space="preserve">
Freizeitausgleich</t>
    </r>
  </si>
  <si>
    <t>Zwischen 5 - 7 Stunden</t>
  </si>
  <si>
    <t>Mehr als 7 Stunden</t>
  </si>
  <si>
    <t>Monat</t>
  </si>
  <si>
    <t>Jahr</t>
  </si>
  <si>
    <t>Leistungsmonat</t>
  </si>
  <si>
    <t>Pers.Nr.</t>
  </si>
  <si>
    <t>Name, Vorname:</t>
  </si>
  <si>
    <t>Amt | FB | EB:</t>
  </si>
  <si>
    <t>15%
30%</t>
  </si>
  <si>
    <t>Tages-
pauschale</t>
  </si>
  <si>
    <t>Erschwernis- und Verkehrsgefahrenzuschlag
Für den jeweiligen Zuschlag die entsprechende LA</t>
  </si>
  <si>
    <t>LA</t>
  </si>
  <si>
    <t>Uhrzeit</t>
  </si>
  <si>
    <t>Stunden</t>
  </si>
  <si>
    <t>Anzahl</t>
  </si>
  <si>
    <t>Gesamt</t>
  </si>
  <si>
    <t>3E83</t>
  </si>
  <si>
    <t>3E85</t>
  </si>
  <si>
    <t>3E21</t>
  </si>
  <si>
    <t>3E45</t>
  </si>
  <si>
    <t>3E27</t>
  </si>
  <si>
    <t>3F9L</t>
  </si>
  <si>
    <t>3E49</t>
  </si>
  <si>
    <t>3E53</t>
  </si>
  <si>
    <t>3E61</t>
  </si>
  <si>
    <t>3E65</t>
  </si>
  <si>
    <t>3E69</t>
  </si>
  <si>
    <t>3E71</t>
  </si>
  <si>
    <t>9301</t>
  </si>
  <si>
    <t>9303</t>
  </si>
  <si>
    <t>9305</t>
  </si>
  <si>
    <t>3E13</t>
  </si>
  <si>
    <t>3E15</t>
  </si>
  <si>
    <t>3F9J</t>
  </si>
  <si>
    <t>913A</t>
  </si>
  <si>
    <t>913B</t>
  </si>
  <si>
    <t>913C</t>
  </si>
  <si>
    <t>Urlaub</t>
  </si>
  <si>
    <t>Beginn (TTMMJJJJ)</t>
  </si>
  <si>
    <t>Ende (TTMMJJJJ)</t>
  </si>
  <si>
    <t>Ich versichere die Richtigkeit der Angaben</t>
  </si>
  <si>
    <t>Sachlich und rechnerisch richtig</t>
  </si>
  <si>
    <t>Gesehen und anerkannt</t>
  </si>
  <si>
    <t>Abweichende Kontierung</t>
  </si>
  <si>
    <t>TT</t>
  </si>
  <si>
    <t>MM</t>
  </si>
  <si>
    <t>JJJJ</t>
  </si>
  <si>
    <t>Buchungskreis</t>
  </si>
  <si>
    <t>M</t>
  </si>
  <si>
    <t>A</t>
  </si>
  <si>
    <t>N</t>
  </si>
  <si>
    <t>Kostenstelle</t>
  </si>
  <si>
    <t>Auftrag Nr.</t>
  </si>
  <si>
    <t>Datum und Unterschrift Beschäftige/r</t>
  </si>
  <si>
    <t>Der/ Die Aufsichtsführende</t>
  </si>
  <si>
    <t>Dienststellen-/Betriebsleitung / Beauftrage/r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</si>
</sst>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1" x14ac:knownFonts="1">
    <font>
      <sz val="11"/>
      <color theme="1"/>
      <name val="Aptos Narrow"/>
      <family val="2"/>
      <scheme val="minor"/>
    </font>
    <font>
      <b/>
      <sz val="12"/>
      <name val="MS Sans Serif"/>
    </font>
    <font>
      <b/>
      <sz val="10"/>
      <name val="MS Sans Serif"/>
    </font>
    <font>
      <b/>
      <sz val="11"/>
      <name val="MS Sans Serif"/>
    </font>
    <font>
      <b/>
      <sz val="16"/>
      <name val="MS Sans Serif"/>
    </font>
    <font>
      <b/>
      <sz val="14"/>
      <name val="MS Sans Serif"/>
    </font>
    <font>
      <sz val="8"/>
      <name val="MS Sans Serif"/>
    </font>
    <font>
      <sz val="12"/>
      <name val="MS Sans Serif"/>
    </font>
    <font>
      <b/>
      <sz val="10"/>
      <color theme="0"/>
      <name val="MS Sans Serif"/>
    </font>
    <font>
      <b/>
      <sz val="9"/>
      <name val="Arial"/>
      <family val="2"/>
    </font>
    <font>
      <sz val="10"/>
      <color theme="0" tint="-0.249977111117893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0" xfId="0" applyFont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2" borderId="18" xfId="0" applyFill="1" applyBorder="1" applyAlignment="1">
      <alignment horizontal="center" vertical="center" textRotation="90" wrapText="1"/>
    </xf>
    <xf numFmtId="0" fontId="0" fillId="2" borderId="19" xfId="0" applyFill="1" applyBorder="1" applyAlignment="1">
      <alignment horizontal="center" vertical="center" textRotation="90" wrapText="1"/>
    </xf>
    <xf numFmtId="0" fontId="0" fillId="2" borderId="20" xfId="0" applyFill="1" applyBorder="1" applyAlignment="1">
      <alignment horizontal="center" vertical="center" textRotation="90" wrapText="1"/>
    </xf>
    <xf numFmtId="0" fontId="3" fillId="3" borderId="2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textRotation="90" wrapText="1"/>
    </xf>
    <xf numFmtId="0" fontId="0" fillId="2" borderId="24" xfId="0" applyFill="1" applyBorder="1" applyAlignment="1">
      <alignment horizontal="center" vertical="center" textRotation="90" wrapText="1"/>
    </xf>
    <xf numFmtId="0" fontId="3" fillId="3" borderId="2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0" fillId="2" borderId="25" xfId="0" applyFill="1" applyBorder="1" applyAlignment="1">
      <alignment horizontal="center" vertical="center" textRotation="90"/>
    </xf>
    <xf numFmtId="0" fontId="0" fillId="2" borderId="26" xfId="0" applyFill="1" applyBorder="1" applyAlignment="1">
      <alignment horizontal="center" vertical="center" textRotation="90"/>
    </xf>
    <xf numFmtId="0" fontId="0" fillId="2" borderId="14" xfId="0" applyFill="1" applyBorder="1" applyAlignment="1">
      <alignment horizontal="center" vertical="center" textRotation="90" wrapText="1"/>
    </xf>
    <xf numFmtId="0" fontId="0" fillId="2" borderId="27" xfId="0" applyFill="1" applyBorder="1" applyAlignment="1">
      <alignment horizontal="center" vertical="center" textRotation="90" wrapText="1"/>
    </xf>
    <xf numFmtId="0" fontId="0" fillId="2" borderId="28" xfId="0" applyFill="1" applyBorder="1" applyAlignment="1">
      <alignment horizontal="center" vertical="center" textRotation="90" wrapText="1"/>
    </xf>
    <xf numFmtId="0" fontId="0" fillId="2" borderId="29" xfId="0" applyFill="1" applyBorder="1" applyAlignment="1">
      <alignment horizontal="center" vertical="center" textRotation="90" wrapText="1"/>
    </xf>
    <xf numFmtId="0" fontId="0" fillId="2" borderId="30" xfId="0" applyFill="1" applyBorder="1" applyAlignment="1">
      <alignment horizontal="center" vertical="center" textRotation="90" wrapText="1"/>
    </xf>
    <xf numFmtId="0" fontId="0" fillId="2" borderId="31" xfId="0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0" fillId="2" borderId="32" xfId="0" applyFill="1" applyBorder="1" applyAlignment="1">
      <alignment horizontal="center" vertical="center" textRotation="90"/>
    </xf>
    <xf numFmtId="0" fontId="0" fillId="2" borderId="33" xfId="0" applyFill="1" applyBorder="1" applyAlignment="1">
      <alignment horizontal="center" vertical="center" textRotation="90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 textRotation="90" wrapText="1"/>
    </xf>
    <xf numFmtId="0" fontId="0" fillId="2" borderId="36" xfId="0" applyFill="1" applyBorder="1" applyAlignment="1">
      <alignment horizontal="center" vertical="center" textRotation="90" wrapText="1"/>
    </xf>
    <xf numFmtId="0" fontId="0" fillId="2" borderId="37" xfId="0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 wrapText="1"/>
    </xf>
    <xf numFmtId="9" fontId="0" fillId="0" borderId="39" xfId="0" applyNumberFormat="1" applyBorder="1" applyAlignment="1">
      <alignment horizontal="center" vertical="center"/>
    </xf>
    <xf numFmtId="9" fontId="6" fillId="0" borderId="38" xfId="0" applyNumberFormat="1" applyFont="1" applyBorder="1" applyAlignment="1">
      <alignment horizontal="center" vertical="center" wrapText="1"/>
    </xf>
    <xf numFmtId="10" fontId="0" fillId="0" borderId="39" xfId="0" applyNumberFormat="1" applyBorder="1" applyAlignment="1">
      <alignment horizontal="center" vertical="center"/>
    </xf>
    <xf numFmtId="9" fontId="6" fillId="0" borderId="39" xfId="0" applyNumberFormat="1" applyFont="1" applyBorder="1" applyAlignment="1">
      <alignment horizontal="center" vertical="center" wrapText="1"/>
    </xf>
    <xf numFmtId="9" fontId="0" fillId="0" borderId="40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9" fontId="0" fillId="0" borderId="41" xfId="0" applyNumberFormat="1" applyBorder="1" applyAlignment="1">
      <alignment horizontal="center" vertical="center"/>
    </xf>
    <xf numFmtId="9" fontId="0" fillId="0" borderId="41" xfId="0" applyNumberFormat="1" applyBorder="1" applyAlignment="1">
      <alignment horizontal="center" vertical="center" wrapText="1"/>
    </xf>
    <xf numFmtId="9" fontId="6" fillId="0" borderId="41" xfId="0" applyNumberFormat="1" applyFont="1" applyBorder="1" applyAlignment="1">
      <alignment horizontal="center" vertical="center"/>
    </xf>
    <xf numFmtId="10" fontId="0" fillId="0" borderId="41" xfId="0" applyNumberFormat="1" applyBorder="1" applyAlignment="1">
      <alignment horizontal="center" vertical="center"/>
    </xf>
    <xf numFmtId="9" fontId="0" fillId="0" borderId="4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 textRotation="90"/>
    </xf>
    <xf numFmtId="0" fontId="0" fillId="2" borderId="44" xfId="0" applyFill="1" applyBorder="1" applyAlignment="1">
      <alignment horizontal="center" vertical="center" textRotation="90"/>
    </xf>
    <xf numFmtId="0" fontId="0" fillId="0" borderId="8" xfId="0" applyBorder="1"/>
    <xf numFmtId="0" fontId="0" fillId="0" borderId="21" xfId="0" applyBorder="1"/>
    <xf numFmtId="0" fontId="0" fillId="0" borderId="21" xfId="0" applyBorder="1" applyAlignment="1">
      <alignment horizontal="center" vertical="center" wrapText="1"/>
    </xf>
    <xf numFmtId="0" fontId="2" fillId="0" borderId="4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9" fillId="2" borderId="19" xfId="0" quotePrefix="1" applyFont="1" applyFill="1" applyBorder="1" applyAlignment="1" applyProtection="1">
      <alignment horizontal="center"/>
      <protection locked="0"/>
    </xf>
    <xf numFmtId="0" fontId="2" fillId="2" borderId="19" xfId="0" applyFont="1" applyFill="1" applyBorder="1" applyAlignment="1">
      <alignment horizontal="center"/>
    </xf>
    <xf numFmtId="164" fontId="0" fillId="4" borderId="19" xfId="0" applyNumberFormat="1" applyFill="1" applyBorder="1"/>
    <xf numFmtId="164" fontId="0" fillId="4" borderId="51" xfId="0" applyNumberFormat="1" applyFill="1" applyBorder="1"/>
    <xf numFmtId="2" fontId="0" fillId="4" borderId="19" xfId="0" applyNumberFormat="1" applyFill="1" applyBorder="1" applyAlignment="1">
      <alignment horizontal="center" vertical="center"/>
    </xf>
    <xf numFmtId="2" fontId="0" fillId="4" borderId="52" xfId="0" applyNumberFormat="1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2" fontId="0" fillId="4" borderId="27" xfId="0" applyNumberFormat="1" applyFill="1" applyBorder="1" applyAlignment="1">
      <alignment horizontal="center" vertical="center"/>
    </xf>
    <xf numFmtId="2" fontId="0" fillId="4" borderId="47" xfId="0" applyNumberForma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2" fontId="1" fillId="4" borderId="51" xfId="0" applyNumberFormat="1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164" fontId="2" fillId="4" borderId="20" xfId="0" applyNumberFormat="1" applyFont="1" applyFill="1" applyBorder="1" applyAlignment="1">
      <alignment horizontal="center" vertical="center"/>
    </xf>
    <xf numFmtId="164" fontId="0" fillId="4" borderId="20" xfId="0" applyNumberFormat="1" applyFill="1" applyBorder="1"/>
    <xf numFmtId="164" fontId="0" fillId="4" borderId="51" xfId="0" applyNumberFormat="1" applyFill="1" applyBorder="1" applyAlignment="1">
      <alignment horizontal="center"/>
    </xf>
    <xf numFmtId="164" fontId="0" fillId="4" borderId="52" xfId="0" applyNumberFormat="1" applyFill="1" applyBorder="1" applyAlignment="1">
      <alignment horizontal="center"/>
    </xf>
    <xf numFmtId="49" fontId="0" fillId="0" borderId="0" xfId="0" applyNumberFormat="1"/>
    <xf numFmtId="0" fontId="0" fillId="0" borderId="19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/>
    <xf numFmtId="0" fontId="0" fillId="0" borderId="54" xfId="0" applyBorder="1"/>
    <xf numFmtId="0" fontId="5" fillId="3" borderId="20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4" xfId="0" applyBorder="1" applyAlignment="1">
      <alignment horizontal="center"/>
    </xf>
    <xf numFmtId="0" fontId="5" fillId="3" borderId="60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/>
    </xf>
    <xf numFmtId="0" fontId="10" fillId="0" borderId="62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2" fillId="0" borderId="47" xfId="0" applyFont="1" applyBorder="1"/>
    <xf numFmtId="0" fontId="10" fillId="0" borderId="40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65" xfId="0" applyFont="1" applyFill="1" applyBorder="1" applyAlignment="1">
      <alignment horizontal="center"/>
    </xf>
    <xf numFmtId="0" fontId="10" fillId="0" borderId="66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0" fillId="0" borderId="45" xfId="0" applyBorder="1"/>
    <xf numFmtId="0" fontId="0" fillId="0" borderId="53" xfId="0" applyBorder="1" applyAlignment="1">
      <alignment horizontal="left"/>
    </xf>
    <xf numFmtId="0" fontId="0" fillId="0" borderId="67" xfId="0" applyBorder="1"/>
    <xf numFmtId="0" fontId="0" fillId="0" borderId="68" xfId="0" applyBorder="1"/>
  </cellXfs>
  <cellStyles count="1">
    <cellStyle name="Standard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153597</xdr:colOff>
      <xdr:row>0</xdr:row>
      <xdr:rowOff>85430</xdr:rowOff>
    </xdr:from>
    <xdr:to>
      <xdr:col>34</xdr:col>
      <xdr:colOff>320364</xdr:colOff>
      <xdr:row>4</xdr:row>
      <xdr:rowOff>148029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3CC2F06-FFB1-41E9-AFA8-C1723427A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013597" y="85430"/>
          <a:ext cx="3214767" cy="911685"/>
        </a:xfrm>
        <a:prstGeom prst="rect">
          <a:avLst/>
        </a:prstGeom>
      </xdr:spPr>
    </xdr:pic>
    <xdr:clientData/>
  </xdr:twoCellAnchor>
  <xdr:twoCellAnchor>
    <xdr:from>
      <xdr:col>38</xdr:col>
      <xdr:colOff>293077</xdr:colOff>
      <xdr:row>52</xdr:row>
      <xdr:rowOff>0</xdr:rowOff>
    </xdr:from>
    <xdr:to>
      <xdr:col>38</xdr:col>
      <xdr:colOff>293077</xdr:colOff>
      <xdr:row>53</xdr:row>
      <xdr:rowOff>0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0293E0F3-0F7F-4AF6-9867-D6811912B1C6}"/>
            </a:ext>
          </a:extLst>
        </xdr:cNvPr>
        <xdr:cNvCxnSpPr/>
      </xdr:nvCxnSpPr>
      <xdr:spPr bwMode="auto">
        <a:xfrm>
          <a:off x="20518462" y="14683740"/>
          <a:ext cx="0" cy="1600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292619</xdr:colOff>
      <xdr:row>53</xdr:row>
      <xdr:rowOff>13280</xdr:rowOff>
    </xdr:from>
    <xdr:to>
      <xdr:col>38</xdr:col>
      <xdr:colOff>292619</xdr:colOff>
      <xdr:row>54</xdr:row>
      <xdr:rowOff>13281</xdr:rowOff>
    </xdr:to>
    <xdr:cxnSp macro="">
      <xdr:nvCxnSpPr>
        <xdr:cNvPr id="4" name="Gerader Verbinder 3">
          <a:extLst>
            <a:ext uri="{FF2B5EF4-FFF2-40B4-BE49-F238E27FC236}">
              <a16:creationId xmlns:a16="http://schemas.microsoft.com/office/drawing/2014/main" id="{26EA9788-DCEC-4CDC-97A0-F90538C3819F}"/>
            </a:ext>
          </a:extLst>
        </xdr:cNvPr>
        <xdr:cNvCxnSpPr/>
      </xdr:nvCxnSpPr>
      <xdr:spPr bwMode="auto">
        <a:xfrm>
          <a:off x="20518004" y="14855135"/>
          <a:ext cx="0" cy="16002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296191</xdr:colOff>
      <xdr:row>52</xdr:row>
      <xdr:rowOff>159727</xdr:rowOff>
    </xdr:from>
    <xdr:to>
      <xdr:col>39</xdr:col>
      <xdr:colOff>296191</xdr:colOff>
      <xdr:row>53</xdr:row>
      <xdr:rowOff>159727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DD03AA3D-4A3D-4654-99B3-A41741ADB778}"/>
            </a:ext>
          </a:extLst>
        </xdr:cNvPr>
        <xdr:cNvCxnSpPr/>
      </xdr:nvCxnSpPr>
      <xdr:spPr bwMode="auto">
        <a:xfrm>
          <a:off x="21093076" y="14841562"/>
          <a:ext cx="0" cy="1600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8_Gleitzettel_mit_Forderungsnachweis_Vorlage_2025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en"/>
      <sheetName val="Variablen"/>
      <sheetName val="Januar"/>
      <sheetName val="Februar"/>
      <sheetName val="März"/>
      <sheetName val="April"/>
      <sheetName val="Mai"/>
      <sheetName val="Juni"/>
      <sheetName val="Juli"/>
      <sheetName val="August"/>
      <sheetName val="September"/>
      <sheetName val="Oktober"/>
      <sheetName val="November"/>
      <sheetName val="Dezember"/>
      <sheetName val="Ford Jan"/>
      <sheetName val="Ford Feb"/>
      <sheetName val="Ford  März"/>
      <sheetName val="Ford  April"/>
      <sheetName val="Ford Mai"/>
      <sheetName val="Ford Juni"/>
      <sheetName val="Ford Juli"/>
      <sheetName val="Ford August"/>
      <sheetName val="Ford September"/>
      <sheetName val="Ford Oktober"/>
      <sheetName val="Ford November"/>
      <sheetName val="Ford Dezember"/>
    </sheetNames>
    <sheetDataSet>
      <sheetData sheetId="0" refreshError="1"/>
      <sheetData sheetId="1">
        <row r="5">
          <cell r="B5">
            <v>2025</v>
          </cell>
        </row>
        <row r="33">
          <cell r="B33" t="str">
            <v>Nein</v>
          </cell>
        </row>
      </sheetData>
      <sheetData sheetId="2">
        <row r="1">
          <cell r="C1" t="str">
            <v>Januar 2025</v>
          </cell>
        </row>
        <row r="6">
          <cell r="B6" t="str">
            <v>Mi</v>
          </cell>
          <cell r="D6" t="str">
            <v/>
          </cell>
          <cell r="J6" t="str">
            <v>Neujahr</v>
          </cell>
        </row>
        <row r="7">
          <cell r="B7" t="str">
            <v>Do</v>
          </cell>
          <cell r="D7" t="str">
            <v/>
          </cell>
          <cell r="J7" t="str">
            <v/>
          </cell>
        </row>
        <row r="8">
          <cell r="B8" t="str">
            <v>Fr</v>
          </cell>
          <cell r="D8" t="str">
            <v/>
          </cell>
          <cell r="J8" t="str">
            <v/>
          </cell>
        </row>
        <row r="9">
          <cell r="B9" t="str">
            <v>Sa</v>
          </cell>
          <cell r="D9" t="str">
            <v/>
          </cell>
          <cell r="J9" t="str">
            <v/>
          </cell>
        </row>
        <row r="10">
          <cell r="B10" t="str">
            <v>So</v>
          </cell>
          <cell r="D10" t="str">
            <v/>
          </cell>
          <cell r="J10" t="str">
            <v/>
          </cell>
        </row>
        <row r="11">
          <cell r="B11" t="str">
            <v>Mo</v>
          </cell>
          <cell r="D11" t="str">
            <v/>
          </cell>
          <cell r="J11" t="str">
            <v>Heilige Drei Könige</v>
          </cell>
        </row>
        <row r="12">
          <cell r="B12" t="str">
            <v>Di</v>
          </cell>
          <cell r="D12" t="str">
            <v/>
          </cell>
          <cell r="J12" t="str">
            <v/>
          </cell>
        </row>
        <row r="13">
          <cell r="B13" t="str">
            <v>Mi</v>
          </cell>
          <cell r="D13" t="str">
            <v/>
          </cell>
          <cell r="J13" t="str">
            <v/>
          </cell>
        </row>
        <row r="14">
          <cell r="B14" t="str">
            <v>Do</v>
          </cell>
          <cell r="D14" t="str">
            <v/>
          </cell>
          <cell r="J14" t="str">
            <v/>
          </cell>
        </row>
        <row r="15">
          <cell r="B15" t="str">
            <v>Fr</v>
          </cell>
          <cell r="D15" t="str">
            <v/>
          </cell>
          <cell r="J15" t="str">
            <v/>
          </cell>
        </row>
        <row r="16">
          <cell r="B16" t="str">
            <v>Sa</v>
          </cell>
          <cell r="D16" t="str">
            <v/>
          </cell>
          <cell r="J16" t="str">
            <v/>
          </cell>
        </row>
        <row r="17">
          <cell r="B17" t="str">
            <v>So</v>
          </cell>
          <cell r="D17" t="str">
            <v/>
          </cell>
          <cell r="J17" t="str">
            <v/>
          </cell>
        </row>
        <row r="18">
          <cell r="B18" t="str">
            <v>Mo</v>
          </cell>
          <cell r="D18" t="str">
            <v/>
          </cell>
          <cell r="J18" t="str">
            <v/>
          </cell>
        </row>
        <row r="19">
          <cell r="B19" t="str">
            <v>Di</v>
          </cell>
          <cell r="D19" t="str">
            <v/>
          </cell>
          <cell r="J19" t="str">
            <v/>
          </cell>
        </row>
        <row r="20">
          <cell r="B20" t="str">
            <v>Mi</v>
          </cell>
          <cell r="D20" t="str">
            <v/>
          </cell>
          <cell r="J20" t="str">
            <v/>
          </cell>
        </row>
        <row r="21">
          <cell r="B21" t="str">
            <v>Do</v>
          </cell>
          <cell r="D21" t="str">
            <v/>
          </cell>
          <cell r="J21" t="str">
            <v/>
          </cell>
        </row>
        <row r="22">
          <cell r="B22" t="str">
            <v>Fr</v>
          </cell>
          <cell r="D22" t="str">
            <v/>
          </cell>
          <cell r="J22" t="str">
            <v/>
          </cell>
        </row>
        <row r="23">
          <cell r="B23" t="str">
            <v>Sa</v>
          </cell>
          <cell r="D23" t="str">
            <v/>
          </cell>
          <cell r="J23" t="str">
            <v/>
          </cell>
        </row>
        <row r="24">
          <cell r="B24" t="str">
            <v>So</v>
          </cell>
          <cell r="D24" t="str">
            <v/>
          </cell>
          <cell r="J24" t="str">
            <v/>
          </cell>
        </row>
        <row r="25">
          <cell r="B25" t="str">
            <v>Mo</v>
          </cell>
          <cell r="D25" t="str">
            <v/>
          </cell>
          <cell r="J25" t="str">
            <v/>
          </cell>
        </row>
        <row r="26">
          <cell r="B26" t="str">
            <v>Di</v>
          </cell>
          <cell r="D26" t="str">
            <v/>
          </cell>
        </row>
        <row r="27">
          <cell r="B27" t="str">
            <v>Mi</v>
          </cell>
          <cell r="D27" t="str">
            <v/>
          </cell>
        </row>
        <row r="28">
          <cell r="B28" t="str">
            <v>Do</v>
          </cell>
          <cell r="D28" t="str">
            <v/>
          </cell>
          <cell r="J28" t="str">
            <v/>
          </cell>
        </row>
        <row r="29">
          <cell r="B29" t="str">
            <v>Fr</v>
          </cell>
          <cell r="D29" t="str">
            <v/>
          </cell>
        </row>
        <row r="30">
          <cell r="B30" t="str">
            <v>Sa</v>
          </cell>
          <cell r="D30" t="str">
            <v/>
          </cell>
          <cell r="J30" t="str">
            <v/>
          </cell>
        </row>
        <row r="31">
          <cell r="B31" t="str">
            <v>So</v>
          </cell>
          <cell r="D31" t="str">
            <v/>
          </cell>
          <cell r="J31" t="str">
            <v/>
          </cell>
        </row>
        <row r="32">
          <cell r="B32" t="str">
            <v>Mo</v>
          </cell>
          <cell r="D32" t="str">
            <v/>
          </cell>
          <cell r="J32" t="str">
            <v/>
          </cell>
        </row>
        <row r="33">
          <cell r="B33" t="str">
            <v>Di</v>
          </cell>
          <cell r="D33" t="str">
            <v/>
          </cell>
          <cell r="J33" t="str">
            <v/>
          </cell>
        </row>
        <row r="34">
          <cell r="B34" t="str">
            <v>Mi</v>
          </cell>
          <cell r="D34" t="str">
            <v/>
          </cell>
          <cell r="J34" t="str">
            <v/>
          </cell>
        </row>
        <row r="35">
          <cell r="B35" t="str">
            <v>Do</v>
          </cell>
          <cell r="D35" t="str">
            <v/>
          </cell>
          <cell r="J35" t="str">
            <v/>
          </cell>
        </row>
        <row r="36">
          <cell r="B36" t="str">
            <v>Fr</v>
          </cell>
          <cell r="D36" t="str">
            <v/>
          </cell>
          <cell r="J36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5">
          <cell r="B15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4F5B-BAF6-4FA3-BDA7-2AAE40220F76}">
  <dimension ref="A1:AO56"/>
  <sheetViews>
    <sheetView tabSelected="1" topLeftCell="O6" zoomScale="70" zoomScaleNormal="70" workbookViewId="0">
      <selection activeCell="AN6" sqref="AN6"/>
    </sheetView>
  </sheetViews>
  <sheetFormatPr baseColWidth="10" defaultRowHeight="15" x14ac:dyDescent="0.25"/>
  <sheetData>
    <row r="1" spans="1:41" ht="16.5" thickBot="1" x14ac:dyDescent="0.3">
      <c r="A1" s="1"/>
      <c r="B1" s="1"/>
      <c r="C1" s="1"/>
      <c r="D1" s="1"/>
      <c r="E1" s="2"/>
      <c r="F1" s="3"/>
      <c r="G1" s="3"/>
      <c r="H1" s="3"/>
      <c r="I1" s="3"/>
      <c r="J1" s="3"/>
      <c r="K1" s="3"/>
      <c r="L1" s="3"/>
      <c r="AO1" s="4"/>
    </row>
    <row r="2" spans="1:41" ht="17.25" thickTop="1" thickBot="1" x14ac:dyDescent="0.3">
      <c r="A2" s="5"/>
      <c r="B2" s="6" t="s">
        <v>0</v>
      </c>
      <c r="C2" s="7"/>
      <c r="D2" s="8"/>
      <c r="E2" s="9" t="s">
        <v>1</v>
      </c>
      <c r="F2" s="10" t="s">
        <v>2</v>
      </c>
      <c r="G2" s="10"/>
      <c r="H2" s="10"/>
      <c r="I2" s="10"/>
      <c r="J2" s="10"/>
      <c r="K2" s="10"/>
      <c r="L2" s="10"/>
      <c r="M2" s="11"/>
      <c r="N2" s="12" t="s">
        <v>3</v>
      </c>
      <c r="O2" s="10"/>
      <c r="P2" s="10"/>
      <c r="Q2" s="10"/>
      <c r="R2" s="10"/>
      <c r="S2" s="10"/>
      <c r="T2" s="10"/>
      <c r="U2" s="11"/>
      <c r="V2" s="12" t="s">
        <v>4</v>
      </c>
      <c r="W2" s="10"/>
      <c r="X2" s="10"/>
      <c r="Y2" s="10"/>
      <c r="Z2" s="13" t="s">
        <v>5</v>
      </c>
      <c r="AA2" s="14"/>
      <c r="AB2" s="14"/>
      <c r="AC2" s="14"/>
      <c r="AD2" s="15"/>
      <c r="AO2" s="4"/>
    </row>
    <row r="3" spans="1:41" ht="15.75" thickBot="1" x14ac:dyDescent="0.3">
      <c r="B3" s="16"/>
      <c r="C3" s="17"/>
      <c r="D3" s="18"/>
      <c r="E3" s="19"/>
      <c r="G3" s="20"/>
      <c r="H3" s="21"/>
      <c r="I3" s="22"/>
      <c r="J3" s="22"/>
      <c r="V3" s="23"/>
      <c r="AO3" s="4"/>
    </row>
    <row r="4" spans="1:41" ht="17.25" thickTop="1" thickBot="1" x14ac:dyDescent="0.3">
      <c r="A4" s="5"/>
      <c r="B4" s="24"/>
      <c r="C4" s="25"/>
      <c r="D4" s="26"/>
      <c r="E4" s="27" t="s">
        <v>6</v>
      </c>
      <c r="F4" s="28" t="s">
        <v>7</v>
      </c>
      <c r="G4" s="28" t="s">
        <v>8</v>
      </c>
      <c r="H4" s="28" t="s">
        <v>9</v>
      </c>
      <c r="I4" s="28" t="s">
        <v>10</v>
      </c>
      <c r="J4" s="28" t="s">
        <v>11</v>
      </c>
      <c r="K4" s="28" t="s">
        <v>12</v>
      </c>
      <c r="L4" s="28" t="s">
        <v>13</v>
      </c>
      <c r="M4" s="29" t="s">
        <v>14</v>
      </c>
      <c r="N4" s="30" t="s">
        <v>15</v>
      </c>
      <c r="O4" s="30"/>
      <c r="P4" s="30"/>
      <c r="Q4" s="30" t="s">
        <v>16</v>
      </c>
      <c r="R4" s="30"/>
      <c r="S4" s="31"/>
      <c r="T4" s="32" t="s">
        <v>17</v>
      </c>
      <c r="U4" s="33"/>
      <c r="V4" s="34" t="s">
        <v>18</v>
      </c>
      <c r="W4" s="35" t="s">
        <v>19</v>
      </c>
      <c r="X4" s="36" t="s">
        <v>20</v>
      </c>
      <c r="Y4" s="30"/>
      <c r="Z4" s="37" t="s">
        <v>21</v>
      </c>
      <c r="AA4" s="38"/>
      <c r="AB4" s="38"/>
      <c r="AC4" s="38"/>
      <c r="AD4" s="39"/>
      <c r="AO4" s="4"/>
    </row>
    <row r="5" spans="1:41" ht="16.5" thickTop="1" thickBot="1" x14ac:dyDescent="0.3">
      <c r="B5" s="40" t="s">
        <v>22</v>
      </c>
      <c r="C5" s="40" t="s">
        <v>23</v>
      </c>
      <c r="D5" s="41" t="s">
        <v>24</v>
      </c>
      <c r="E5" s="42"/>
      <c r="F5" s="43"/>
      <c r="G5" s="43"/>
      <c r="H5" s="43"/>
      <c r="I5" s="43"/>
      <c r="J5" s="43"/>
      <c r="K5" s="43"/>
      <c r="L5" s="43"/>
      <c r="M5" s="44"/>
      <c r="N5" s="45" t="s">
        <v>25</v>
      </c>
      <c r="O5" s="45" t="s">
        <v>26</v>
      </c>
      <c r="P5" s="34" t="s">
        <v>27</v>
      </c>
      <c r="Q5" s="46" t="s">
        <v>28</v>
      </c>
      <c r="R5" s="45" t="s">
        <v>29</v>
      </c>
      <c r="S5" s="34" t="s">
        <v>30</v>
      </c>
      <c r="T5" s="47" t="s">
        <v>31</v>
      </c>
      <c r="U5" s="47" t="s">
        <v>7</v>
      </c>
      <c r="V5" s="46"/>
      <c r="W5" s="46"/>
      <c r="X5" s="46" t="s">
        <v>32</v>
      </c>
      <c r="Y5" s="35" t="s">
        <v>33</v>
      </c>
      <c r="Z5" s="48"/>
      <c r="AA5" s="49"/>
      <c r="AB5" s="49"/>
      <c r="AC5" s="49"/>
      <c r="AD5" s="50"/>
      <c r="AM5" s="21" t="s">
        <v>34</v>
      </c>
      <c r="AN5" s="21" t="s">
        <v>35</v>
      </c>
      <c r="AO5" s="4"/>
    </row>
    <row r="6" spans="1:41" ht="21" thickTop="1" thickBot="1" x14ac:dyDescent="0.3">
      <c r="B6" s="51"/>
      <c r="C6" s="51"/>
      <c r="D6" s="52"/>
      <c r="E6" s="42"/>
      <c r="F6" s="43"/>
      <c r="G6" s="43"/>
      <c r="H6" s="43"/>
      <c r="I6" s="43"/>
      <c r="J6" s="43"/>
      <c r="K6" s="43"/>
      <c r="L6" s="43"/>
      <c r="M6" s="44"/>
      <c r="N6" s="45"/>
      <c r="O6" s="45"/>
      <c r="P6" s="34"/>
      <c r="Q6" s="46"/>
      <c r="R6" s="45"/>
      <c r="S6" s="34"/>
      <c r="T6" s="46"/>
      <c r="U6" s="46"/>
      <c r="V6" s="46"/>
      <c r="W6" s="46"/>
      <c r="X6" s="46"/>
      <c r="Y6" s="35"/>
      <c r="Z6" s="48"/>
      <c r="AA6" s="49"/>
      <c r="AB6" s="49"/>
      <c r="AC6" s="49"/>
      <c r="AD6" s="50"/>
      <c r="AE6" s="53" t="s">
        <v>36</v>
      </c>
      <c r="AF6" s="54"/>
      <c r="AG6" s="54"/>
      <c r="AH6" s="54"/>
      <c r="AI6" s="54"/>
      <c r="AJ6" s="54"/>
      <c r="AK6" s="54"/>
      <c r="AL6" s="55"/>
      <c r="AM6" s="56"/>
      <c r="AN6" s="56"/>
      <c r="AO6" s="4"/>
    </row>
    <row r="7" spans="1:41" ht="21" thickTop="1" thickBot="1" x14ac:dyDescent="0.3">
      <c r="B7" s="51"/>
      <c r="C7" s="51"/>
      <c r="D7" s="52"/>
      <c r="E7" s="42"/>
      <c r="F7" s="43"/>
      <c r="G7" s="43"/>
      <c r="H7" s="43"/>
      <c r="I7" s="43"/>
      <c r="J7" s="43"/>
      <c r="K7" s="43"/>
      <c r="L7" s="43"/>
      <c r="M7" s="44"/>
      <c r="N7" s="45"/>
      <c r="O7" s="45"/>
      <c r="P7" s="34"/>
      <c r="Q7" s="46"/>
      <c r="R7" s="45"/>
      <c r="S7" s="34"/>
      <c r="T7" s="46"/>
      <c r="U7" s="46"/>
      <c r="V7" s="46"/>
      <c r="W7" s="46"/>
      <c r="X7" s="46"/>
      <c r="Y7" s="35"/>
      <c r="Z7" s="48"/>
      <c r="AA7" s="49"/>
      <c r="AB7" s="49"/>
      <c r="AC7" s="49"/>
      <c r="AD7" s="50"/>
      <c r="AE7" s="57" t="s">
        <v>37</v>
      </c>
      <c r="AF7" s="58"/>
      <c r="AG7" s="58"/>
      <c r="AH7" s="58"/>
      <c r="AI7" s="58"/>
      <c r="AJ7" s="58"/>
      <c r="AK7" s="59">
        <f>[1]Variablen!E5</f>
        <v>0</v>
      </c>
      <c r="AL7" s="59"/>
      <c r="AM7" s="59"/>
      <c r="AN7" s="60"/>
      <c r="AO7" s="4"/>
    </row>
    <row r="8" spans="1:41" ht="21" thickTop="1" thickBot="1" x14ac:dyDescent="0.3">
      <c r="B8" s="51"/>
      <c r="C8" s="51"/>
      <c r="D8" s="52"/>
      <c r="E8" s="42"/>
      <c r="F8" s="43"/>
      <c r="G8" s="43"/>
      <c r="H8" s="43"/>
      <c r="I8" s="43"/>
      <c r="J8" s="43"/>
      <c r="K8" s="43"/>
      <c r="L8" s="43"/>
      <c r="M8" s="44"/>
      <c r="N8" s="45"/>
      <c r="O8" s="45"/>
      <c r="P8" s="34"/>
      <c r="Q8" s="46"/>
      <c r="R8" s="45"/>
      <c r="S8" s="34"/>
      <c r="T8" s="46"/>
      <c r="U8" s="46"/>
      <c r="V8" s="46"/>
      <c r="W8" s="46"/>
      <c r="X8" s="46"/>
      <c r="Y8" s="35"/>
      <c r="Z8" s="48"/>
      <c r="AA8" s="49"/>
      <c r="AB8" s="49"/>
      <c r="AC8" s="49"/>
      <c r="AD8" s="50"/>
      <c r="AE8" s="61" t="s">
        <v>38</v>
      </c>
      <c r="AF8" s="49"/>
      <c r="AG8" s="49"/>
      <c r="AH8" s="49"/>
      <c r="AI8" s="49"/>
      <c r="AJ8" s="49"/>
      <c r="AK8" s="62">
        <f>[1]Variablen!B3</f>
        <v>0</v>
      </c>
      <c r="AL8" s="62"/>
      <c r="AM8" s="62"/>
      <c r="AN8" s="63"/>
      <c r="AO8" s="4"/>
    </row>
    <row r="9" spans="1:41" ht="21" thickTop="1" thickBot="1" x14ac:dyDescent="0.3">
      <c r="B9" s="51"/>
      <c r="C9" s="51"/>
      <c r="D9" s="52"/>
      <c r="E9" s="42"/>
      <c r="F9" s="43"/>
      <c r="G9" s="43"/>
      <c r="H9" s="64"/>
      <c r="I9" s="43"/>
      <c r="J9" s="43"/>
      <c r="K9" s="43"/>
      <c r="L9" s="43"/>
      <c r="M9" s="44"/>
      <c r="N9" s="45"/>
      <c r="O9" s="45"/>
      <c r="P9" s="34"/>
      <c r="Q9" s="46"/>
      <c r="R9" s="45"/>
      <c r="S9" s="34"/>
      <c r="T9" s="46"/>
      <c r="U9" s="46"/>
      <c r="V9" s="65"/>
      <c r="W9" s="65"/>
      <c r="X9" s="65"/>
      <c r="Y9" s="66"/>
      <c r="Z9" s="67"/>
      <c r="AA9" s="67"/>
      <c r="AB9" s="67"/>
      <c r="AC9" s="67"/>
      <c r="AD9" s="68"/>
      <c r="AE9" s="69" t="s">
        <v>39</v>
      </c>
      <c r="AF9" s="70"/>
      <c r="AG9" s="70"/>
      <c r="AH9" s="70"/>
      <c r="AI9" s="70"/>
      <c r="AJ9" s="70"/>
      <c r="AK9" s="71">
        <f>[1]Variablen!E6</f>
        <v>0</v>
      </c>
      <c r="AL9" s="71"/>
      <c r="AM9" s="71"/>
      <c r="AN9" s="72"/>
      <c r="AO9" s="4"/>
    </row>
    <row r="10" spans="1:41" ht="15.75" thickTop="1" x14ac:dyDescent="0.25">
      <c r="B10" s="51"/>
      <c r="C10" s="51"/>
      <c r="D10" s="52"/>
      <c r="E10" s="73">
        <v>1</v>
      </c>
      <c r="F10" s="74" t="s">
        <v>40</v>
      </c>
      <c r="G10" s="73">
        <v>0.2</v>
      </c>
      <c r="H10" s="75">
        <v>0.25</v>
      </c>
      <c r="I10" s="73">
        <v>0.2</v>
      </c>
      <c r="J10" s="73">
        <v>0.2</v>
      </c>
      <c r="K10" s="73">
        <v>1.35</v>
      </c>
      <c r="L10" s="73">
        <v>0.35</v>
      </c>
      <c r="M10" s="73">
        <v>0.35</v>
      </c>
      <c r="N10" s="76" t="s">
        <v>41</v>
      </c>
      <c r="O10" s="76" t="s">
        <v>41</v>
      </c>
      <c r="P10" s="77">
        <v>0.125</v>
      </c>
      <c r="Q10" s="78" t="s">
        <v>41</v>
      </c>
      <c r="R10" s="78" t="s">
        <v>41</v>
      </c>
      <c r="S10" s="77">
        <v>0.125</v>
      </c>
      <c r="T10" s="75">
        <v>1</v>
      </c>
      <c r="U10" s="79">
        <v>0.15</v>
      </c>
      <c r="V10" s="80"/>
      <c r="W10" s="81"/>
      <c r="X10" s="80"/>
      <c r="Y10" s="81"/>
      <c r="AE10" s="82" t="s">
        <v>42</v>
      </c>
      <c r="AF10" s="83"/>
      <c r="AG10" s="83"/>
      <c r="AH10" s="83"/>
      <c r="AI10" s="83"/>
      <c r="AJ10" s="84"/>
      <c r="AK10" s="84"/>
      <c r="AL10" s="84"/>
      <c r="AM10" s="85"/>
      <c r="AN10" s="86" t="s">
        <v>22</v>
      </c>
      <c r="AO10" s="4"/>
    </row>
    <row r="11" spans="1:41" ht="15.75" thickBot="1" x14ac:dyDescent="0.3">
      <c r="A11" s="87"/>
      <c r="B11" s="51"/>
      <c r="C11" s="51"/>
      <c r="D11" s="52"/>
      <c r="E11" s="88"/>
      <c r="F11" s="89"/>
      <c r="G11" s="88"/>
      <c r="H11" s="88"/>
      <c r="I11" s="88"/>
      <c r="J11" s="88"/>
      <c r="K11" s="88"/>
      <c r="L11" s="88"/>
      <c r="M11" s="88"/>
      <c r="N11" s="90"/>
      <c r="O11" s="90"/>
      <c r="P11" s="91"/>
      <c r="Q11" s="90"/>
      <c r="R11" s="90"/>
      <c r="S11" s="91"/>
      <c r="T11" s="88"/>
      <c r="U11" s="92">
        <v>0.3</v>
      </c>
      <c r="V11" s="93"/>
      <c r="W11" s="94"/>
      <c r="X11" s="93"/>
      <c r="Y11" s="94"/>
      <c r="AE11" s="95"/>
      <c r="AF11" s="96"/>
      <c r="AG11" s="96"/>
      <c r="AH11" s="96"/>
      <c r="AI11" s="96"/>
      <c r="AJ11" s="96"/>
      <c r="AK11" s="96"/>
      <c r="AL11" s="96"/>
      <c r="AM11" s="97"/>
      <c r="AN11" s="98"/>
      <c r="AO11" s="4"/>
    </row>
    <row r="12" spans="1:41" ht="16.5" thickTop="1" thickBot="1" x14ac:dyDescent="0.3">
      <c r="B12" s="99"/>
      <c r="C12" s="99"/>
      <c r="D12" s="100"/>
      <c r="E12" s="101"/>
      <c r="F12" s="102"/>
      <c r="G12" s="102"/>
      <c r="H12" s="102"/>
      <c r="I12" s="102"/>
      <c r="J12" s="102"/>
      <c r="K12" s="103" t="str">
        <f>IF(AU48&gt;0,"ACHTUNG: Es darf jeweils nur eine Feld pro Feiertag in 10/11 befüllt sein!","")</f>
        <v/>
      </c>
      <c r="L12" s="103"/>
      <c r="M12" s="102"/>
      <c r="AO12" s="4"/>
    </row>
    <row r="13" spans="1:41" ht="16.5" thickTop="1" thickBot="1" x14ac:dyDescent="0.3">
      <c r="B13" s="104">
        <v>1</v>
      </c>
      <c r="C13" s="105">
        <v>2</v>
      </c>
      <c r="D13" s="104">
        <v>3</v>
      </c>
      <c r="E13" s="106">
        <v>4</v>
      </c>
      <c r="F13" s="107">
        <v>5</v>
      </c>
      <c r="G13" s="106">
        <v>6</v>
      </c>
      <c r="H13" s="107">
        <v>7</v>
      </c>
      <c r="I13" s="108">
        <v>8</v>
      </c>
      <c r="J13" s="108">
        <v>9</v>
      </c>
      <c r="K13" s="106">
        <v>10</v>
      </c>
      <c r="L13" s="107">
        <v>11</v>
      </c>
      <c r="M13" s="108">
        <v>12</v>
      </c>
      <c r="N13" s="106">
        <v>13</v>
      </c>
      <c r="O13" s="106">
        <v>14</v>
      </c>
      <c r="P13" s="106">
        <v>15</v>
      </c>
      <c r="Q13" s="106">
        <v>16</v>
      </c>
      <c r="R13" s="106">
        <v>17</v>
      </c>
      <c r="S13" s="106">
        <v>18</v>
      </c>
      <c r="T13" s="106">
        <v>19</v>
      </c>
      <c r="U13" s="106">
        <v>20</v>
      </c>
      <c r="V13" s="106">
        <v>21</v>
      </c>
      <c r="W13" s="106">
        <v>22</v>
      </c>
      <c r="X13" s="106">
        <v>23</v>
      </c>
      <c r="Y13" s="106">
        <v>24</v>
      </c>
      <c r="Z13" s="109">
        <v>25</v>
      </c>
      <c r="AA13" s="110"/>
      <c r="AB13" s="110"/>
      <c r="AC13" s="110"/>
      <c r="AD13" s="111"/>
      <c r="AE13" s="109" t="s">
        <v>43</v>
      </c>
      <c r="AF13" s="111"/>
      <c r="AG13" s="109" t="s">
        <v>43</v>
      </c>
      <c r="AH13" s="111"/>
      <c r="AI13" s="109" t="s">
        <v>43</v>
      </c>
      <c r="AJ13" s="111"/>
      <c r="AK13" s="109" t="s">
        <v>43</v>
      </c>
      <c r="AL13" s="111"/>
      <c r="AM13" s="106" t="s">
        <v>43</v>
      </c>
      <c r="AN13" s="106"/>
      <c r="AO13" s="112"/>
    </row>
    <row r="14" spans="1:41" ht="15.75" thickTop="1" x14ac:dyDescent="0.25">
      <c r="A14" s="113" t="str">
        <f>[1]Januar!C1</f>
        <v>Januar 2025</v>
      </c>
      <c r="B14" s="114"/>
      <c r="C14" s="115" t="s">
        <v>44</v>
      </c>
      <c r="D14" s="116"/>
      <c r="E14" s="117" t="s">
        <v>45</v>
      </c>
      <c r="F14" s="117" t="s">
        <v>45</v>
      </c>
      <c r="G14" s="117" t="s">
        <v>45</v>
      </c>
      <c r="H14" s="117" t="s">
        <v>45</v>
      </c>
      <c r="I14" s="117" t="s">
        <v>45</v>
      </c>
      <c r="J14" s="117" t="s">
        <v>45</v>
      </c>
      <c r="K14" s="117" t="s">
        <v>45</v>
      </c>
      <c r="L14" s="117" t="s">
        <v>45</v>
      </c>
      <c r="M14" s="117" t="s">
        <v>45</v>
      </c>
      <c r="N14" s="118" t="s">
        <v>46</v>
      </c>
      <c r="O14" s="118" t="s">
        <v>46</v>
      </c>
      <c r="P14" s="118" t="s">
        <v>45</v>
      </c>
      <c r="Q14" s="118" t="s">
        <v>46</v>
      </c>
      <c r="R14" s="118" t="s">
        <v>46</v>
      </c>
      <c r="S14" s="118" t="s">
        <v>45</v>
      </c>
      <c r="T14" s="118" t="s">
        <v>45</v>
      </c>
      <c r="U14" s="118" t="s">
        <v>45</v>
      </c>
      <c r="V14" s="118" t="s">
        <v>45</v>
      </c>
      <c r="W14" s="118" t="s">
        <v>22</v>
      </c>
      <c r="X14" s="118" t="s">
        <v>22</v>
      </c>
      <c r="Y14" s="118" t="s">
        <v>22</v>
      </c>
      <c r="Z14" s="118"/>
      <c r="AA14" s="118"/>
      <c r="AB14" s="118"/>
      <c r="AC14" s="118"/>
      <c r="AD14" s="118"/>
      <c r="AE14" s="119"/>
      <c r="AF14" s="120"/>
      <c r="AG14" s="119"/>
      <c r="AH14" s="120"/>
      <c r="AI14" s="119"/>
      <c r="AJ14" s="120"/>
      <c r="AK14" s="119"/>
      <c r="AL14" s="120"/>
      <c r="AM14" s="118"/>
      <c r="AO14" s="4"/>
    </row>
    <row r="15" spans="1:41" x14ac:dyDescent="0.25">
      <c r="A15" s="121"/>
      <c r="B15" s="122">
        <v>1</v>
      </c>
      <c r="C15" s="123" t="str">
        <f>IF([1]Januar!C6="","",[1]Januar!C6)</f>
        <v/>
      </c>
      <c r="D15" s="124" t="str">
        <f>IF([1]Januar!D6="","",[1]Januar!D6)</f>
        <v/>
      </c>
      <c r="E15" s="125"/>
      <c r="F15" s="126"/>
      <c r="G15" s="125" t="str">
        <f>IF(BN15=0,"",BN15)</f>
        <v/>
      </c>
      <c r="H15" s="125" t="str">
        <f>IF(C15="","",IF(A15="So",(D15-C15)*24,""))</f>
        <v/>
      </c>
      <c r="I15" s="125" t="str">
        <f>IF(BR15="","",BR15)</f>
        <v/>
      </c>
      <c r="J15" s="125" t="str">
        <f t="shared" ref="J15:J45" si="0">IF(BW15="","",BW15)</f>
        <v/>
      </c>
      <c r="K15" s="125" t="str">
        <f>IF(C15="","",IF(BD15="FT",(D15-C15)*24,""))</f>
        <v/>
      </c>
      <c r="L15" s="125" t="str">
        <f>IF(C15="","",IF(BD15="FT",(D15-C15)*24,""))</f>
        <v/>
      </c>
      <c r="M15" s="125"/>
      <c r="N15" s="127" t="str">
        <f>IF((AND([1]Januar!J6="Rufbereitschaft",OR([1]Januar!B6="Mo",[1]Januar!B6="Di",[1]Januar!B6="Mi",[1]Januar!B6="Do",[1]Januar!B6="Fr")))=TRUE,1,"")</f>
        <v/>
      </c>
      <c r="O15" s="127" t="str">
        <f>IF((AND([1]Januar!J6="Rufbereitschaft",OR([1]Januar!B6="Sa",[1]Januar!B6="So")))=TRUE,1,"")</f>
        <v/>
      </c>
      <c r="P15" s="127"/>
      <c r="Q15" s="127"/>
      <c r="R15" s="127"/>
      <c r="S15" s="127"/>
      <c r="T15" s="127"/>
      <c r="U15" s="127"/>
      <c r="V15" s="127"/>
      <c r="W15" s="127" t="str">
        <f>IF(OR(A15="Sa",A15="So")=TRUE,"",IF(OR([1]Variablen!$B$33="Ja",[1]Variablen!$B$33=""),"",IF(C15="","",IF(BM15&lt;TIME(6,0,0),"",IF($BL$14=2,1,IF($BL$14=1,0.5,""))))))</f>
        <v/>
      </c>
      <c r="X15" s="127"/>
      <c r="Y15" s="127"/>
      <c r="Z15" s="127"/>
      <c r="AA15" s="127"/>
      <c r="AB15" s="127"/>
      <c r="AC15" s="127"/>
      <c r="AD15" s="127"/>
      <c r="AE15" s="128"/>
      <c r="AF15" s="129"/>
      <c r="AG15" s="128"/>
      <c r="AH15" s="129"/>
      <c r="AI15" s="128"/>
      <c r="AJ15" s="129"/>
      <c r="AK15" s="128"/>
      <c r="AL15" s="129"/>
      <c r="AM15" s="127"/>
      <c r="AN15" s="122">
        <v>1</v>
      </c>
      <c r="AO15" s="4"/>
    </row>
    <row r="16" spans="1:41" x14ac:dyDescent="0.25">
      <c r="A16" s="121"/>
      <c r="B16" s="122">
        <v>2</v>
      </c>
      <c r="C16" s="123" t="str">
        <f>IF([1]Januar!C7="","",[1]Januar!C7)</f>
        <v/>
      </c>
      <c r="D16" s="124" t="str">
        <f>IF([1]Januar!D7="","",[1]Januar!D7)</f>
        <v/>
      </c>
      <c r="E16" s="125"/>
      <c r="F16" s="126"/>
      <c r="G16" s="125" t="str">
        <f t="shared" ref="G16:G45" si="1">IF(BN16=0,"",BN16)</f>
        <v/>
      </c>
      <c r="H16" s="125" t="str">
        <f>IF(C16="","",IF(A16="So",(D16-C16)*24,""))</f>
        <v/>
      </c>
      <c r="I16" s="125" t="str">
        <f t="shared" ref="I16:I45" si="2">IF(BR16="","",BR16)</f>
        <v/>
      </c>
      <c r="J16" s="125" t="str">
        <f t="shared" si="0"/>
        <v/>
      </c>
      <c r="K16" s="125" t="str">
        <f t="shared" ref="K16:K45" si="3">IF(C16="","",IF(BD16="FT",(D16-C16)*24,""))</f>
        <v/>
      </c>
      <c r="L16" s="125" t="str">
        <f t="shared" ref="L16:L45" si="4">IF(C16="","",IF(BD16="FT",(D16-C16)*24,""))</f>
        <v/>
      </c>
      <c r="M16" s="125"/>
      <c r="N16" s="127" t="str">
        <f>IF((AND([1]Januar!J7="Rufbereitschaft",OR([1]Januar!B7="Mo",[1]Januar!B7="Di",[1]Januar!B7="Mi",[1]Januar!B7="Do",[1]Januar!B7="Fr")))=TRUE,1,"")</f>
        <v/>
      </c>
      <c r="O16" s="127" t="str">
        <f>IF((AND([1]Januar!J7="Rufbereitschaft",OR([1]Januar!B7="Sa",[1]Januar!B7="So")))=TRUE,1,"")</f>
        <v/>
      </c>
      <c r="P16" s="127"/>
      <c r="Q16" s="127"/>
      <c r="R16" s="127"/>
      <c r="S16" s="127"/>
      <c r="T16" s="127"/>
      <c r="U16" s="127"/>
      <c r="V16" s="127"/>
      <c r="W16" s="127" t="str">
        <f>IF(OR(A16="Sa",A16="So")=TRUE,"",IF(OR([1]Variablen!$B$33="Ja",[1]Variablen!$B$33=""),"",IF(C16="","",IF(BM16&lt;TIME(6,0,0),"",IF($BL$14=2,1,IF($BL$14=1,0.5,""))))))</f>
        <v/>
      </c>
      <c r="X16" s="127"/>
      <c r="Y16" s="127"/>
      <c r="Z16" s="127"/>
      <c r="AA16" s="127"/>
      <c r="AB16" s="127"/>
      <c r="AC16" s="127"/>
      <c r="AD16" s="127"/>
      <c r="AE16" s="128"/>
      <c r="AF16" s="129"/>
      <c r="AG16" s="128"/>
      <c r="AH16" s="129"/>
      <c r="AI16" s="128"/>
      <c r="AJ16" s="129"/>
      <c r="AK16" s="128"/>
      <c r="AL16" s="129"/>
      <c r="AM16" s="127"/>
      <c r="AN16" s="122">
        <v>2</v>
      </c>
      <c r="AO16" s="4"/>
    </row>
    <row r="17" spans="1:41" x14ac:dyDescent="0.25">
      <c r="A17" s="121"/>
      <c r="B17" s="122">
        <v>3</v>
      </c>
      <c r="C17" s="123" t="str">
        <f>IF([1]Januar!C8="","",[1]Januar!C8)</f>
        <v/>
      </c>
      <c r="D17" s="124" t="str">
        <f>IF([1]Januar!D8="","",[1]Januar!D8)</f>
        <v/>
      </c>
      <c r="E17" s="125"/>
      <c r="F17" s="126"/>
      <c r="G17" s="125" t="str">
        <f t="shared" si="1"/>
        <v/>
      </c>
      <c r="H17" s="125" t="str">
        <f t="shared" ref="H17:H20" si="5">IF(C17="","",IF(A17="So",(D17-C17)*24,""))</f>
        <v/>
      </c>
      <c r="I17" s="125" t="str">
        <f t="shared" si="2"/>
        <v/>
      </c>
      <c r="J17" s="125" t="str">
        <f t="shared" si="0"/>
        <v/>
      </c>
      <c r="K17" s="125" t="str">
        <f t="shared" si="3"/>
        <v/>
      </c>
      <c r="L17" s="125" t="str">
        <f t="shared" si="4"/>
        <v/>
      </c>
      <c r="M17" s="125"/>
      <c r="N17" s="127" t="str">
        <f>IF((AND([1]Januar!J8="Rufbereitschaft",OR([1]Januar!B8="Mo",[1]Januar!B8="Di",[1]Januar!B8="Mi",[1]Januar!B8="Do",[1]Januar!B8="Fr")))=TRUE,1,"")</f>
        <v/>
      </c>
      <c r="O17" s="127" t="str">
        <f>IF((AND([1]Januar!J8="Rufbereitschaft",OR([1]Januar!B8="Sa",[1]Januar!B8="So")))=TRUE,1,"")</f>
        <v/>
      </c>
      <c r="P17" s="127"/>
      <c r="Q17" s="127"/>
      <c r="R17" s="127"/>
      <c r="S17" s="127"/>
      <c r="T17" s="127"/>
      <c r="U17" s="127"/>
      <c r="V17" s="127"/>
      <c r="W17" s="127" t="str">
        <f>IF(OR(A17="Sa",A17="So")=TRUE,"",IF(OR([1]Variablen!$B$33="Ja",[1]Variablen!$B$33=""),"",IF(C17="","",IF(BM17&lt;TIME(6,0,0),"",IF($BL$14=2,1,IF($BL$14=1,0.5,""))))))</f>
        <v/>
      </c>
      <c r="X17" s="127"/>
      <c r="Y17" s="127"/>
      <c r="Z17" s="127"/>
      <c r="AA17" s="127"/>
      <c r="AB17" s="127"/>
      <c r="AC17" s="127"/>
      <c r="AD17" s="127"/>
      <c r="AE17" s="128"/>
      <c r="AF17" s="129"/>
      <c r="AG17" s="128"/>
      <c r="AH17" s="129"/>
      <c r="AI17" s="128"/>
      <c r="AJ17" s="129"/>
      <c r="AK17" s="128"/>
      <c r="AL17" s="129"/>
      <c r="AM17" s="127"/>
      <c r="AN17" s="122">
        <v>3</v>
      </c>
      <c r="AO17" s="4"/>
    </row>
    <row r="18" spans="1:41" x14ac:dyDescent="0.25">
      <c r="A18" s="121"/>
      <c r="B18" s="122">
        <v>4</v>
      </c>
      <c r="C18" s="123" t="str">
        <f>IF([1]Januar!C9="","",[1]Januar!C9)</f>
        <v/>
      </c>
      <c r="D18" s="124" t="str">
        <f>IF([1]Januar!D9="","",[1]Januar!D9)</f>
        <v/>
      </c>
      <c r="E18" s="125"/>
      <c r="F18" s="126"/>
      <c r="G18" s="125" t="str">
        <f>IF(BN18=0,"",BN18)</f>
        <v/>
      </c>
      <c r="H18" s="125" t="str">
        <f t="shared" si="5"/>
        <v/>
      </c>
      <c r="I18" s="125" t="str">
        <f t="shared" si="2"/>
        <v/>
      </c>
      <c r="J18" s="125" t="str">
        <f t="shared" si="0"/>
        <v/>
      </c>
      <c r="K18" s="125" t="str">
        <f t="shared" si="3"/>
        <v/>
      </c>
      <c r="L18" s="125" t="str">
        <f t="shared" si="4"/>
        <v/>
      </c>
      <c r="M18" s="125"/>
      <c r="N18" s="127" t="str">
        <f>IF((AND([1]Januar!J9="Rufbereitschaft",OR([1]Januar!B9="Mo",[1]Januar!B9="Di",[1]Januar!B9="Mi",[1]Januar!B9="Do",[1]Januar!B9="Fr")))=TRUE,1,"")</f>
        <v/>
      </c>
      <c r="O18" s="127" t="str">
        <f>IF((AND([1]Januar!J9="Rufbereitschaft",OR([1]Januar!B9="Sa",[1]Januar!B9="So")))=TRUE,1,"")</f>
        <v/>
      </c>
      <c r="P18" s="127"/>
      <c r="Q18" s="127"/>
      <c r="R18" s="127"/>
      <c r="S18" s="127"/>
      <c r="T18" s="127"/>
      <c r="U18" s="127"/>
      <c r="V18" s="127"/>
      <c r="W18" s="127" t="str">
        <f>IF(OR(A18="Sa",A18="So")=TRUE,"",IF(OR([1]Variablen!$B$33="Ja",[1]Variablen!$B$33=""),"",IF(C18="","",IF(BM18&lt;TIME(6,0,0),"",IF($BL$14=2,1,IF($BL$14=1,0.5,""))))))</f>
        <v/>
      </c>
      <c r="X18" s="127"/>
      <c r="Y18" s="127"/>
      <c r="Z18" s="127"/>
      <c r="AA18" s="127"/>
      <c r="AB18" s="127"/>
      <c r="AC18" s="127"/>
      <c r="AD18" s="127"/>
      <c r="AE18" s="128"/>
      <c r="AF18" s="129"/>
      <c r="AG18" s="128"/>
      <c r="AH18" s="129"/>
      <c r="AI18" s="128"/>
      <c r="AJ18" s="129"/>
      <c r="AK18" s="128"/>
      <c r="AL18" s="129"/>
      <c r="AM18" s="127"/>
      <c r="AN18" s="122">
        <v>4</v>
      </c>
      <c r="AO18" s="4"/>
    </row>
    <row r="19" spans="1:41" x14ac:dyDescent="0.25">
      <c r="A19" s="121"/>
      <c r="B19" s="122">
        <v>5</v>
      </c>
      <c r="C19" s="123" t="str">
        <f>IF([1]Januar!C10="","",[1]Januar!C10)</f>
        <v/>
      </c>
      <c r="D19" s="124" t="str">
        <f>IF([1]Januar!D10="","",[1]Januar!D10)</f>
        <v/>
      </c>
      <c r="E19" s="125"/>
      <c r="F19" s="126"/>
      <c r="G19" s="125" t="str">
        <f t="shared" si="1"/>
        <v/>
      </c>
      <c r="H19" s="125" t="str">
        <f t="shared" si="5"/>
        <v/>
      </c>
      <c r="I19" s="125" t="str">
        <f t="shared" si="2"/>
        <v/>
      </c>
      <c r="J19" s="125" t="str">
        <f t="shared" si="0"/>
        <v/>
      </c>
      <c r="K19" s="125" t="str">
        <f t="shared" si="3"/>
        <v/>
      </c>
      <c r="L19" s="125" t="str">
        <f t="shared" si="4"/>
        <v/>
      </c>
      <c r="M19" s="125"/>
      <c r="N19" s="127" t="str">
        <f>IF((AND([1]Januar!J10="Rufbereitschaft",OR([1]Januar!B10="Mo",[1]Januar!B10="Di",[1]Januar!B10="Mi",[1]Januar!B10="Do",[1]Januar!B10="Fr")))=TRUE,1,"")</f>
        <v/>
      </c>
      <c r="O19" s="127" t="str">
        <f>IF((AND([1]Januar!J10="Rufbereitschaft",OR([1]Januar!B10="Sa",[1]Januar!B10="So")))=TRUE,1,"")</f>
        <v/>
      </c>
      <c r="P19" s="127"/>
      <c r="Q19" s="127"/>
      <c r="R19" s="127"/>
      <c r="S19" s="127"/>
      <c r="T19" s="127"/>
      <c r="U19" s="127"/>
      <c r="V19" s="127"/>
      <c r="W19" s="127" t="str">
        <f>IF(OR(A19="Sa",A19="So")=TRUE,"",IF(OR([1]Variablen!$B$33="Ja",[1]Variablen!$B$33=""),"",IF(C19="","",IF(BM19&lt;TIME(6,0,0),"",IF($BL$14=2,1,IF($BL$14=1,0.5,""))))))</f>
        <v/>
      </c>
      <c r="X19" s="127"/>
      <c r="Y19" s="127"/>
      <c r="Z19" s="127"/>
      <c r="AA19" s="127"/>
      <c r="AB19" s="127"/>
      <c r="AC19" s="127"/>
      <c r="AD19" s="127"/>
      <c r="AE19" s="128"/>
      <c r="AF19" s="129"/>
      <c r="AG19" s="128"/>
      <c r="AH19" s="129"/>
      <c r="AI19" s="128"/>
      <c r="AJ19" s="129"/>
      <c r="AK19" s="128"/>
      <c r="AL19" s="129"/>
      <c r="AM19" s="127"/>
      <c r="AN19" s="122">
        <v>5</v>
      </c>
      <c r="AO19" s="4"/>
    </row>
    <row r="20" spans="1:41" x14ac:dyDescent="0.25">
      <c r="A20" s="121"/>
      <c r="B20" s="122">
        <v>6</v>
      </c>
      <c r="C20" s="123" t="str">
        <f>IF([1]Januar!C11="","",[1]Januar!C11)</f>
        <v/>
      </c>
      <c r="D20" s="124" t="str">
        <f>IF([1]Januar!D11="","",[1]Januar!D11)</f>
        <v/>
      </c>
      <c r="E20" s="125"/>
      <c r="F20" s="126"/>
      <c r="G20" s="125" t="str">
        <f t="shared" si="1"/>
        <v/>
      </c>
      <c r="H20" s="125" t="str">
        <f t="shared" si="5"/>
        <v/>
      </c>
      <c r="I20" s="125" t="str">
        <f t="shared" si="2"/>
        <v/>
      </c>
      <c r="J20" s="125" t="str">
        <f t="shared" si="0"/>
        <v/>
      </c>
      <c r="K20" s="125" t="str">
        <f t="shared" si="3"/>
        <v/>
      </c>
      <c r="L20" s="125" t="str">
        <f t="shared" si="4"/>
        <v/>
      </c>
      <c r="M20" s="125"/>
      <c r="N20" s="127" t="str">
        <f>IF((AND([1]Januar!J11="Rufbereitschaft",OR([1]Januar!B11="Mo",[1]Januar!B11="Di",[1]Januar!B11="Mi",[1]Januar!B11="Do",[1]Januar!B11="Fr")))=TRUE,1,"")</f>
        <v/>
      </c>
      <c r="O20" s="127" t="str">
        <f>IF((AND([1]Januar!J11="Rufbereitschaft",OR([1]Januar!B11="Sa",[1]Januar!B11="So")))=TRUE,1,"")</f>
        <v/>
      </c>
      <c r="P20" s="127"/>
      <c r="Q20" s="127"/>
      <c r="R20" s="127"/>
      <c r="S20" s="127"/>
      <c r="T20" s="127"/>
      <c r="U20" s="127"/>
      <c r="V20" s="127"/>
      <c r="W20" s="127" t="str">
        <f>IF(OR(A20="Sa",A20="So")=TRUE,"",IF(OR([1]Variablen!$B$33="Ja",[1]Variablen!$B$33=""),"",IF(C20="","",IF(BM20&lt;TIME(6,0,0),"",IF($BL$14=2,1,IF($BL$14=1,0.5,""))))))</f>
        <v/>
      </c>
      <c r="X20" s="127"/>
      <c r="Y20" s="127"/>
      <c r="Z20" s="127"/>
      <c r="AA20" s="127"/>
      <c r="AB20" s="127"/>
      <c r="AC20" s="127"/>
      <c r="AD20" s="127"/>
      <c r="AE20" s="128"/>
      <c r="AF20" s="129"/>
      <c r="AG20" s="128"/>
      <c r="AH20" s="129"/>
      <c r="AI20" s="128"/>
      <c r="AJ20" s="129"/>
      <c r="AK20" s="128"/>
      <c r="AL20" s="129"/>
      <c r="AM20" s="127"/>
      <c r="AN20" s="122">
        <v>6</v>
      </c>
      <c r="AO20" s="4"/>
    </row>
    <row r="21" spans="1:41" x14ac:dyDescent="0.25">
      <c r="A21" s="121"/>
      <c r="B21" s="122">
        <v>7</v>
      </c>
      <c r="C21" s="123" t="str">
        <f>IF([1]Januar!C12="","",[1]Januar!C12)</f>
        <v/>
      </c>
      <c r="D21" s="124" t="str">
        <f>IF([1]Januar!D12="","",[1]Januar!D12)</f>
        <v/>
      </c>
      <c r="E21" s="125"/>
      <c r="F21" s="126"/>
      <c r="G21" s="125" t="str">
        <f t="shared" si="1"/>
        <v/>
      </c>
      <c r="H21" s="125" t="str">
        <f>IF(C21="","",IF(A21="So",(D21-C21)*24,""))</f>
        <v/>
      </c>
      <c r="I21" s="125" t="str">
        <f t="shared" si="2"/>
        <v/>
      </c>
      <c r="J21" s="125" t="str">
        <f t="shared" si="0"/>
        <v/>
      </c>
      <c r="K21" s="125" t="str">
        <f t="shared" si="3"/>
        <v/>
      </c>
      <c r="L21" s="125" t="str">
        <f t="shared" si="4"/>
        <v/>
      </c>
      <c r="M21" s="125"/>
      <c r="N21" s="127" t="str">
        <f>IF((AND([1]Januar!J12="Rufbereitschaft",OR([1]Januar!B12="Mo",[1]Januar!B12="Di",[1]Januar!B12="Mi",[1]Januar!B12="Do",[1]Januar!B12="Fr")))=TRUE,1,"")</f>
        <v/>
      </c>
      <c r="O21" s="127" t="str">
        <f>IF((AND([1]Januar!J12="Rufbereitschaft",OR([1]Januar!B12="Sa",[1]Januar!B12="So")))=TRUE,1,"")</f>
        <v/>
      </c>
      <c r="P21" s="127"/>
      <c r="Q21" s="127"/>
      <c r="R21" s="127"/>
      <c r="S21" s="127"/>
      <c r="T21" s="127"/>
      <c r="U21" s="127"/>
      <c r="V21" s="127"/>
      <c r="W21" s="127" t="str">
        <f>IF(OR(A21="Sa",A21="So")=TRUE,"",IF(OR([1]Variablen!$B$33="Ja",[1]Variablen!$B$33=""),"",IF(C21="","",IF(BM21&lt;TIME(6,0,0),"",IF($BL$14=2,1,IF($BL$14=1,0.5,""))))))</f>
        <v/>
      </c>
      <c r="X21" s="127"/>
      <c r="Y21" s="127"/>
      <c r="Z21" s="127"/>
      <c r="AA21" s="127"/>
      <c r="AB21" s="127"/>
      <c r="AC21" s="127"/>
      <c r="AD21" s="127"/>
      <c r="AE21" s="128"/>
      <c r="AF21" s="129"/>
      <c r="AG21" s="128"/>
      <c r="AH21" s="129"/>
      <c r="AI21" s="128"/>
      <c r="AJ21" s="129"/>
      <c r="AK21" s="128"/>
      <c r="AL21" s="129"/>
      <c r="AM21" s="127"/>
      <c r="AN21" s="122">
        <v>7</v>
      </c>
      <c r="AO21" s="4"/>
    </row>
    <row r="22" spans="1:41" x14ac:dyDescent="0.25">
      <c r="A22" s="121"/>
      <c r="B22" s="122">
        <v>8</v>
      </c>
      <c r="C22" s="123" t="str">
        <f>IF([1]Januar!C13="","",[1]Januar!C13)</f>
        <v/>
      </c>
      <c r="D22" s="124" t="str">
        <f>IF([1]Januar!D13="","",[1]Januar!D13)</f>
        <v/>
      </c>
      <c r="E22" s="125"/>
      <c r="F22" s="126"/>
      <c r="G22" s="125" t="str">
        <f t="shared" si="1"/>
        <v/>
      </c>
      <c r="H22" s="125" t="str">
        <f t="shared" ref="H22:H45" si="6">IF(C22="","",IF(A22="So",(D22-C22)*24,""))</f>
        <v/>
      </c>
      <c r="I22" s="125" t="str">
        <f t="shared" si="2"/>
        <v/>
      </c>
      <c r="J22" s="125" t="str">
        <f t="shared" si="0"/>
        <v/>
      </c>
      <c r="K22" s="125" t="str">
        <f t="shared" si="3"/>
        <v/>
      </c>
      <c r="L22" s="125" t="str">
        <f t="shared" si="4"/>
        <v/>
      </c>
      <c r="M22" s="125"/>
      <c r="N22" s="127" t="str">
        <f>IF((AND([1]Januar!J13="Rufbereitschaft",OR([1]Januar!B13="Mo",[1]Januar!B13="Di",[1]Januar!B13="Mi",[1]Januar!B13="Do",[1]Januar!B13="Fr")))=TRUE,1,"")</f>
        <v/>
      </c>
      <c r="O22" s="127" t="str">
        <f>IF((AND([1]Januar!J13="Rufbereitschaft",OR([1]Januar!B13="Sa",[1]Januar!B13="So")))=TRUE,1,"")</f>
        <v/>
      </c>
      <c r="P22" s="127"/>
      <c r="Q22" s="127"/>
      <c r="R22" s="127"/>
      <c r="S22" s="127"/>
      <c r="T22" s="127"/>
      <c r="U22" s="127"/>
      <c r="V22" s="127"/>
      <c r="W22" s="127" t="str">
        <f>IF(OR(A22="Sa",A22="So")=TRUE,"",IF(OR([1]Variablen!$B$33="Ja",[1]Variablen!$B$33=""),"",IF(C22="","",IF(BM22&lt;TIME(6,0,0),"",IF($BL$14=2,1,IF($BL$14=1,0.5,""))))))</f>
        <v/>
      </c>
      <c r="X22" s="127"/>
      <c r="Y22" s="127"/>
      <c r="Z22" s="127"/>
      <c r="AA22" s="127"/>
      <c r="AB22" s="127"/>
      <c r="AC22" s="127"/>
      <c r="AD22" s="127"/>
      <c r="AE22" s="128"/>
      <c r="AF22" s="129"/>
      <c r="AG22" s="128"/>
      <c r="AH22" s="129"/>
      <c r="AI22" s="128"/>
      <c r="AJ22" s="129"/>
      <c r="AK22" s="128"/>
      <c r="AL22" s="129"/>
      <c r="AM22" s="127"/>
      <c r="AN22" s="122">
        <v>8</v>
      </c>
      <c r="AO22" s="4"/>
    </row>
    <row r="23" spans="1:41" x14ac:dyDescent="0.25">
      <c r="A23" s="121"/>
      <c r="B23" s="122">
        <v>9</v>
      </c>
      <c r="C23" s="123" t="str">
        <f>IF([1]Januar!C14="","",[1]Januar!C14)</f>
        <v/>
      </c>
      <c r="D23" s="124" t="str">
        <f>IF([1]Januar!D14="","",[1]Januar!D14)</f>
        <v/>
      </c>
      <c r="E23" s="130"/>
      <c r="F23" s="126"/>
      <c r="G23" s="125" t="str">
        <f t="shared" si="1"/>
        <v/>
      </c>
      <c r="H23" s="125" t="str">
        <f t="shared" si="6"/>
        <v/>
      </c>
      <c r="I23" s="125" t="str">
        <f t="shared" si="2"/>
        <v/>
      </c>
      <c r="J23" s="125" t="str">
        <f t="shared" si="0"/>
        <v/>
      </c>
      <c r="K23" s="125" t="str">
        <f t="shared" si="3"/>
        <v/>
      </c>
      <c r="L23" s="125" t="str">
        <f t="shared" si="4"/>
        <v/>
      </c>
      <c r="M23" s="125"/>
      <c r="N23" s="127" t="str">
        <f>IF((AND([1]Januar!J14="Rufbereitschaft",OR([1]Januar!B14="Mo",[1]Januar!B14="Di",[1]Januar!B14="Mi",[1]Januar!B14="Do",[1]Januar!B14="Fr")))=TRUE,1,"")</f>
        <v/>
      </c>
      <c r="O23" s="127" t="str">
        <f>IF((AND([1]Januar!J14="Rufbereitschaft",OR([1]Januar!B14="Sa",[1]Januar!B14="So")))=TRUE,1,"")</f>
        <v/>
      </c>
      <c r="P23" s="127"/>
      <c r="Q23" s="127"/>
      <c r="R23" s="127"/>
      <c r="S23" s="127"/>
      <c r="T23" s="127"/>
      <c r="U23" s="127"/>
      <c r="V23" s="127"/>
      <c r="W23" s="127" t="str">
        <f>IF(OR(A23="Sa",A23="So")=TRUE,"",IF(OR([1]Variablen!$B$33="Ja",[1]Variablen!$B$33=""),"",IF(C23="","",IF(BM23&lt;TIME(6,0,0),"",IF($BL$14=2,1,IF($BL$14=1,0.5,""))))))</f>
        <v/>
      </c>
      <c r="X23" s="127"/>
      <c r="Y23" s="127"/>
      <c r="Z23" s="127"/>
      <c r="AA23" s="127"/>
      <c r="AB23" s="127"/>
      <c r="AC23" s="127"/>
      <c r="AD23" s="127"/>
      <c r="AE23" s="128"/>
      <c r="AF23" s="129"/>
      <c r="AG23" s="128"/>
      <c r="AH23" s="129"/>
      <c r="AI23" s="128"/>
      <c r="AJ23" s="129"/>
      <c r="AK23" s="128"/>
      <c r="AL23" s="129"/>
      <c r="AM23" s="127"/>
      <c r="AN23" s="122">
        <v>9</v>
      </c>
      <c r="AO23" s="4"/>
    </row>
    <row r="24" spans="1:41" x14ac:dyDescent="0.25">
      <c r="A24" s="121"/>
      <c r="B24" s="122">
        <v>10</v>
      </c>
      <c r="C24" s="123" t="str">
        <f>IF([1]Januar!C15="","",[1]Januar!C15)</f>
        <v/>
      </c>
      <c r="D24" s="124" t="str">
        <f>IF([1]Januar!D15="","",[1]Januar!D15)</f>
        <v/>
      </c>
      <c r="E24" s="125"/>
      <c r="F24" s="126"/>
      <c r="G24" s="125" t="str">
        <f t="shared" si="1"/>
        <v/>
      </c>
      <c r="H24" s="125" t="str">
        <f t="shared" si="6"/>
        <v/>
      </c>
      <c r="I24" s="125" t="str">
        <f t="shared" si="2"/>
        <v/>
      </c>
      <c r="J24" s="125" t="str">
        <f t="shared" si="0"/>
        <v/>
      </c>
      <c r="K24" s="125" t="str">
        <f t="shared" si="3"/>
        <v/>
      </c>
      <c r="L24" s="125" t="str">
        <f t="shared" si="4"/>
        <v/>
      </c>
      <c r="M24" s="125"/>
      <c r="N24" s="127" t="str">
        <f>IF((AND([1]Januar!J15="Rufbereitschaft",OR([1]Januar!B15="Mo",[1]Januar!B15="Di",[1]Januar!B15="Mi",[1]Januar!B15="Do",[1]Januar!B15="Fr")))=TRUE,1,"")</f>
        <v/>
      </c>
      <c r="O24" s="127" t="str">
        <f>IF((AND([1]Januar!J15="Rufbereitschaft",OR([1]Januar!B15="Sa",[1]Januar!B15="So")))=TRUE,1,"")</f>
        <v/>
      </c>
      <c r="P24" s="127"/>
      <c r="Q24" s="127"/>
      <c r="R24" s="127"/>
      <c r="S24" s="127"/>
      <c r="T24" s="127"/>
      <c r="U24" s="127"/>
      <c r="V24" s="127"/>
      <c r="W24" s="127" t="str">
        <f>IF(OR(A24="Sa",A24="So")=TRUE,"",IF(OR([1]Variablen!$B$33="Ja",[1]Variablen!$B$33=""),"",IF(C24="","",IF(BM24&lt;TIME(6,0,0),"",IF($BL$14=2,1,IF($BL$14=1,0.5,""))))))</f>
        <v/>
      </c>
      <c r="X24" s="127"/>
      <c r="Y24" s="127"/>
      <c r="Z24" s="127"/>
      <c r="AA24" s="127"/>
      <c r="AB24" s="127"/>
      <c r="AC24" s="127"/>
      <c r="AD24" s="127"/>
      <c r="AE24" s="128"/>
      <c r="AF24" s="129"/>
      <c r="AG24" s="128"/>
      <c r="AH24" s="129"/>
      <c r="AI24" s="128"/>
      <c r="AJ24" s="129"/>
      <c r="AK24" s="128"/>
      <c r="AL24" s="129"/>
      <c r="AM24" s="127"/>
      <c r="AN24" s="122">
        <v>10</v>
      </c>
      <c r="AO24" s="4"/>
    </row>
    <row r="25" spans="1:41" x14ac:dyDescent="0.25">
      <c r="A25" s="121"/>
      <c r="B25" s="122">
        <v>11</v>
      </c>
      <c r="C25" s="123" t="str">
        <f>IF([1]Januar!C16="","",[1]Januar!C16)</f>
        <v/>
      </c>
      <c r="D25" s="124" t="str">
        <f>IF([1]Januar!D16="","",[1]Januar!D16)</f>
        <v/>
      </c>
      <c r="E25" s="131"/>
      <c r="F25" s="126"/>
      <c r="G25" s="125" t="str">
        <f t="shared" si="1"/>
        <v/>
      </c>
      <c r="H25" s="125" t="str">
        <f t="shared" si="6"/>
        <v/>
      </c>
      <c r="I25" s="125" t="str">
        <f t="shared" si="2"/>
        <v/>
      </c>
      <c r="J25" s="125" t="str">
        <f t="shared" si="0"/>
        <v/>
      </c>
      <c r="K25" s="125" t="str">
        <f t="shared" si="3"/>
        <v/>
      </c>
      <c r="L25" s="125" t="str">
        <f t="shared" si="4"/>
        <v/>
      </c>
      <c r="M25" s="125"/>
      <c r="N25" s="127" t="str">
        <f>IF((AND([1]Januar!J16="Rufbereitschaft",OR([1]Januar!B16="Mo",[1]Januar!B16="Di",[1]Januar!B16="Mi",[1]Januar!B16="Do",[1]Januar!B16="Fr")))=TRUE,1,"")</f>
        <v/>
      </c>
      <c r="O25" s="127" t="str">
        <f>IF((AND([1]Januar!J16="Rufbereitschaft",OR([1]Januar!B16="Sa",[1]Januar!B16="So")))=TRUE,1,"")</f>
        <v/>
      </c>
      <c r="P25" s="127"/>
      <c r="Q25" s="127"/>
      <c r="R25" s="127"/>
      <c r="S25" s="127"/>
      <c r="T25" s="127"/>
      <c r="U25" s="127"/>
      <c r="V25" s="127"/>
      <c r="W25" s="127" t="str">
        <f>IF(OR(A25="Sa",A25="So")=TRUE,"",IF(OR([1]Variablen!$B$33="Ja",[1]Variablen!$B$33=""),"",IF(C25="","",IF(BM25&lt;TIME(6,0,0),"",IF($BL$14=2,1,IF($BL$14=1,0.5,""))))))</f>
        <v/>
      </c>
      <c r="X25" s="127"/>
      <c r="Y25" s="127"/>
      <c r="Z25" s="127"/>
      <c r="AA25" s="127"/>
      <c r="AB25" s="127"/>
      <c r="AC25" s="127"/>
      <c r="AD25" s="127"/>
      <c r="AE25" s="128"/>
      <c r="AF25" s="129"/>
      <c r="AG25" s="128"/>
      <c r="AH25" s="129"/>
      <c r="AI25" s="128"/>
      <c r="AJ25" s="129"/>
      <c r="AK25" s="128"/>
      <c r="AL25" s="129"/>
      <c r="AM25" s="127"/>
      <c r="AN25" s="122">
        <v>11</v>
      </c>
      <c r="AO25" s="4"/>
    </row>
    <row r="26" spans="1:41" x14ac:dyDescent="0.25">
      <c r="A26" s="121"/>
      <c r="B26" s="122">
        <v>12</v>
      </c>
      <c r="C26" s="123" t="str">
        <f>IF([1]Januar!C17="","",[1]Januar!C17)</f>
        <v/>
      </c>
      <c r="D26" s="124" t="str">
        <f>IF([1]Januar!D17="","",[1]Januar!D17)</f>
        <v/>
      </c>
      <c r="E26" s="125"/>
      <c r="F26" s="126"/>
      <c r="G26" s="125" t="str">
        <f t="shared" si="1"/>
        <v/>
      </c>
      <c r="H26" s="125" t="str">
        <f t="shared" si="6"/>
        <v/>
      </c>
      <c r="I26" s="125" t="str">
        <f t="shared" si="2"/>
        <v/>
      </c>
      <c r="J26" s="125" t="str">
        <f t="shared" si="0"/>
        <v/>
      </c>
      <c r="K26" s="125" t="str">
        <f t="shared" si="3"/>
        <v/>
      </c>
      <c r="L26" s="125" t="str">
        <f t="shared" si="4"/>
        <v/>
      </c>
      <c r="M26" s="125"/>
      <c r="N26" s="127" t="str">
        <f>IF((AND([1]Januar!J17="Rufbereitschaft",OR([1]Januar!B17="Mo",[1]Januar!B17="Di",[1]Januar!B17="Mi",[1]Januar!B17="Do",[1]Januar!B17="Fr")))=TRUE,1,"")</f>
        <v/>
      </c>
      <c r="O26" s="127" t="str">
        <f>IF((AND([1]Januar!J17="Rufbereitschaft",OR([1]Januar!B17="Sa",[1]Januar!B17="So")))=TRUE,1,"")</f>
        <v/>
      </c>
      <c r="P26" s="127"/>
      <c r="Q26" s="127"/>
      <c r="R26" s="127"/>
      <c r="S26" s="127"/>
      <c r="T26" s="127"/>
      <c r="U26" s="127"/>
      <c r="V26" s="127"/>
      <c r="W26" s="127" t="str">
        <f>IF(OR(A26="Sa",A26="So")=TRUE,"",IF(OR([1]Variablen!$B$33="Ja",[1]Variablen!$B$33=""),"",IF(C26="","",IF(BM26&lt;TIME(6,0,0),"",IF($BL$14=2,1,IF($BL$14=1,0.5,""))))))</f>
        <v/>
      </c>
      <c r="X26" s="127"/>
      <c r="Y26" s="127"/>
      <c r="Z26" s="127"/>
      <c r="AA26" s="127"/>
      <c r="AB26" s="127"/>
      <c r="AC26" s="127"/>
      <c r="AD26" s="127"/>
      <c r="AE26" s="128"/>
      <c r="AF26" s="129"/>
      <c r="AG26" s="128"/>
      <c r="AH26" s="129"/>
      <c r="AI26" s="128"/>
      <c r="AJ26" s="129"/>
      <c r="AK26" s="128"/>
      <c r="AL26" s="129"/>
      <c r="AM26" s="127"/>
      <c r="AN26" s="122">
        <v>12</v>
      </c>
      <c r="AO26" s="4"/>
    </row>
    <row r="27" spans="1:41" x14ac:dyDescent="0.25">
      <c r="A27" s="121"/>
      <c r="B27" s="122">
        <v>13</v>
      </c>
      <c r="C27" s="123" t="str">
        <f>IF([1]Januar!C18="","",[1]Januar!C18)</f>
        <v/>
      </c>
      <c r="D27" s="124" t="str">
        <f>IF([1]Januar!D18="","",[1]Januar!D18)</f>
        <v/>
      </c>
      <c r="E27" s="125"/>
      <c r="F27" s="126"/>
      <c r="G27" s="125" t="str">
        <f t="shared" si="1"/>
        <v/>
      </c>
      <c r="H27" s="125" t="str">
        <f t="shared" si="6"/>
        <v/>
      </c>
      <c r="I27" s="125" t="str">
        <f>IF(BR27="","",BR27)</f>
        <v/>
      </c>
      <c r="J27" s="125" t="str">
        <f>IF(BW27="","",BW27)</f>
        <v/>
      </c>
      <c r="K27" s="125" t="str">
        <f t="shared" si="3"/>
        <v/>
      </c>
      <c r="L27" s="125" t="str">
        <f t="shared" si="4"/>
        <v/>
      </c>
      <c r="M27" s="125"/>
      <c r="N27" s="127" t="str">
        <f>IF((AND([1]Januar!J18="Rufbereitschaft",OR([1]Januar!B18="Mo",[1]Januar!B18="Di",[1]Januar!B18="Mi",[1]Januar!B18="Do",[1]Januar!B18="Fr")))=TRUE,1,"")</f>
        <v/>
      </c>
      <c r="O27" s="127" t="str">
        <f>IF((AND([1]Januar!J18="Rufbereitschaft",OR([1]Januar!B18="Sa",[1]Januar!B18="So")))=TRUE,1,"")</f>
        <v/>
      </c>
      <c r="P27" s="127"/>
      <c r="Q27" s="127"/>
      <c r="R27" s="127"/>
      <c r="S27" s="127"/>
      <c r="T27" s="127"/>
      <c r="U27" s="127"/>
      <c r="V27" s="127"/>
      <c r="W27" s="127" t="str">
        <f>IF(OR(A27="Sa",A27="So")=TRUE,"",IF(OR([1]Variablen!$B$33="Ja",[1]Variablen!$B$33=""),"",IF(C27="","",IF(BM27&lt;TIME(6,0,0),"",IF($BL$14=2,1,IF($BL$14=1,0.5,""))))))</f>
        <v/>
      </c>
      <c r="X27" s="127"/>
      <c r="Y27" s="127"/>
      <c r="Z27" s="127"/>
      <c r="AA27" s="127"/>
      <c r="AB27" s="127"/>
      <c r="AC27" s="127"/>
      <c r="AD27" s="127"/>
      <c r="AE27" s="128"/>
      <c r="AF27" s="129"/>
      <c r="AG27" s="128"/>
      <c r="AH27" s="129"/>
      <c r="AI27" s="128"/>
      <c r="AJ27" s="129"/>
      <c r="AK27" s="128"/>
      <c r="AL27" s="129"/>
      <c r="AM27" s="127"/>
      <c r="AN27" s="122">
        <v>13</v>
      </c>
      <c r="AO27" s="4"/>
    </row>
    <row r="28" spans="1:41" x14ac:dyDescent="0.25">
      <c r="A28" s="121"/>
      <c r="B28" s="122">
        <v>14</v>
      </c>
      <c r="C28" s="123" t="str">
        <f>IF([1]Januar!C19="","",[1]Januar!C19)</f>
        <v/>
      </c>
      <c r="D28" s="124" t="str">
        <f>IF([1]Januar!D19="","",[1]Januar!D19)</f>
        <v/>
      </c>
      <c r="E28" s="125"/>
      <c r="F28" s="126"/>
      <c r="G28" s="125" t="str">
        <f t="shared" si="1"/>
        <v/>
      </c>
      <c r="H28" s="125" t="str">
        <f t="shared" si="6"/>
        <v/>
      </c>
      <c r="I28" s="125" t="str">
        <f t="shared" si="2"/>
        <v/>
      </c>
      <c r="J28" s="125" t="str">
        <f t="shared" si="0"/>
        <v/>
      </c>
      <c r="K28" s="125" t="str">
        <f t="shared" si="3"/>
        <v/>
      </c>
      <c r="L28" s="125" t="str">
        <f t="shared" si="4"/>
        <v/>
      </c>
      <c r="M28" s="125"/>
      <c r="N28" s="127" t="str">
        <f>IF((AND([1]Januar!J19="Rufbereitschaft",OR([1]Januar!B19="Mo",[1]Januar!B19="Di",[1]Januar!B19="Mi",[1]Januar!B19="Do",[1]Januar!B19="Fr")))=TRUE,1,"")</f>
        <v/>
      </c>
      <c r="O28" s="127" t="str">
        <f>IF((AND([1]Januar!J19="Rufbereitschaft",OR([1]Januar!B19="Sa",[1]Januar!B19="So")))=TRUE,1,"")</f>
        <v/>
      </c>
      <c r="P28" s="127"/>
      <c r="Q28" s="127"/>
      <c r="R28" s="127"/>
      <c r="S28" s="127"/>
      <c r="T28" s="127"/>
      <c r="U28" s="127"/>
      <c r="V28" s="127"/>
      <c r="W28" s="127" t="str">
        <f>IF(OR(A28="Sa",A28="So")=TRUE,"",IF(OR([1]Variablen!$B$33="Ja",[1]Variablen!$B$33=""),"",IF(C28="","",IF(BM28&lt;TIME(6,0,0),"",IF($BL$14=2,1,IF($BL$14=1,0.5,""))))))</f>
        <v/>
      </c>
      <c r="X28" s="127"/>
      <c r="Y28" s="127"/>
      <c r="Z28" s="127"/>
      <c r="AA28" s="127"/>
      <c r="AB28" s="127"/>
      <c r="AC28" s="127"/>
      <c r="AD28" s="127"/>
      <c r="AE28" s="128"/>
      <c r="AF28" s="129"/>
      <c r="AG28" s="128"/>
      <c r="AH28" s="129"/>
      <c r="AI28" s="128"/>
      <c r="AJ28" s="129"/>
      <c r="AK28" s="128"/>
      <c r="AL28" s="129"/>
      <c r="AM28" s="127"/>
      <c r="AN28" s="122">
        <v>14</v>
      </c>
      <c r="AO28" s="4"/>
    </row>
    <row r="29" spans="1:41" x14ac:dyDescent="0.25">
      <c r="A29" s="121"/>
      <c r="B29" s="122">
        <v>15</v>
      </c>
      <c r="C29" s="123" t="str">
        <f>IF([1]Januar!C20="","",[1]Januar!C20)</f>
        <v/>
      </c>
      <c r="D29" s="124" t="str">
        <f>IF([1]Januar!D20="","",[1]Januar!D20)</f>
        <v/>
      </c>
      <c r="E29" s="125"/>
      <c r="F29" s="126"/>
      <c r="G29" s="125" t="str">
        <f t="shared" si="1"/>
        <v/>
      </c>
      <c r="H29" s="125" t="str">
        <f t="shared" si="6"/>
        <v/>
      </c>
      <c r="I29" s="125" t="str">
        <f t="shared" si="2"/>
        <v/>
      </c>
      <c r="J29" s="125" t="str">
        <f t="shared" si="0"/>
        <v/>
      </c>
      <c r="K29" s="125" t="str">
        <f t="shared" si="3"/>
        <v/>
      </c>
      <c r="L29" s="125" t="str">
        <f t="shared" si="4"/>
        <v/>
      </c>
      <c r="M29" s="125"/>
      <c r="N29" s="127" t="str">
        <f>IF((AND([1]Januar!J20="Rufbereitschaft",OR([1]Januar!B20="Mo",[1]Januar!B20="Di",[1]Januar!B20="Mi",[1]Januar!B20="Do",[1]Januar!B20="Fr")))=TRUE,1,"")</f>
        <v/>
      </c>
      <c r="O29" s="127" t="str">
        <f>IF((AND([1]Januar!J20="Rufbereitschaft",OR([1]Januar!B20="Sa",[1]Januar!B20="So")))=TRUE,1,"")</f>
        <v/>
      </c>
      <c r="P29" s="127"/>
      <c r="Q29" s="127"/>
      <c r="R29" s="127"/>
      <c r="S29" s="127"/>
      <c r="T29" s="127"/>
      <c r="U29" s="127"/>
      <c r="V29" s="127"/>
      <c r="W29" s="127" t="str">
        <f>IF(OR(A29="Sa",A29="So")=TRUE,"",IF(OR([1]Variablen!$B$33="Ja",[1]Variablen!$B$33=""),"",IF(C29="","",IF(BM29&lt;TIME(6,0,0),"",IF($BL$14=2,1,IF($BL$14=1,0.5,""))))))</f>
        <v/>
      </c>
      <c r="X29" s="127"/>
      <c r="Y29" s="127"/>
      <c r="Z29" s="127"/>
      <c r="AA29" s="127"/>
      <c r="AB29" s="127"/>
      <c r="AC29" s="127"/>
      <c r="AD29" s="127"/>
      <c r="AE29" s="128"/>
      <c r="AF29" s="129"/>
      <c r="AG29" s="128"/>
      <c r="AH29" s="129"/>
      <c r="AI29" s="128"/>
      <c r="AJ29" s="129"/>
      <c r="AK29" s="128"/>
      <c r="AL29" s="129"/>
      <c r="AM29" s="127"/>
      <c r="AN29" s="122">
        <v>15</v>
      </c>
      <c r="AO29" s="4"/>
    </row>
    <row r="30" spans="1:41" x14ac:dyDescent="0.25">
      <c r="A30" s="121"/>
      <c r="B30" s="122">
        <v>16</v>
      </c>
      <c r="C30" s="123" t="str">
        <f>IF([1]Januar!C21="","",[1]Januar!C21)</f>
        <v/>
      </c>
      <c r="D30" s="124" t="str">
        <f>IF([1]Januar!D21="","",[1]Januar!D21)</f>
        <v/>
      </c>
      <c r="E30" s="125"/>
      <c r="F30" s="126"/>
      <c r="G30" s="125" t="str">
        <f t="shared" si="1"/>
        <v/>
      </c>
      <c r="H30" s="125" t="str">
        <f t="shared" si="6"/>
        <v/>
      </c>
      <c r="I30" s="125" t="str">
        <f t="shared" si="2"/>
        <v/>
      </c>
      <c r="J30" s="125" t="str">
        <f t="shared" si="0"/>
        <v/>
      </c>
      <c r="K30" s="125" t="str">
        <f t="shared" si="3"/>
        <v/>
      </c>
      <c r="L30" s="125" t="str">
        <f t="shared" si="4"/>
        <v/>
      </c>
      <c r="M30" s="125"/>
      <c r="N30" s="127" t="str">
        <f>IF((AND([1]Januar!J21="Rufbereitschaft",OR([1]Januar!B21="Mo",[1]Januar!B21="Di",[1]Januar!B21="Mi",[1]Januar!B21="Do",[1]Januar!B21="Fr")))=TRUE,1,"")</f>
        <v/>
      </c>
      <c r="O30" s="127" t="str">
        <f>IF((AND([1]Januar!J21="Rufbereitschaft",OR([1]Januar!B21="Sa",[1]Januar!B21="So")))=TRUE,1,"")</f>
        <v/>
      </c>
      <c r="P30" s="127"/>
      <c r="Q30" s="127"/>
      <c r="R30" s="127"/>
      <c r="S30" s="127"/>
      <c r="T30" s="127"/>
      <c r="U30" s="127"/>
      <c r="V30" s="127"/>
      <c r="W30" s="127" t="str">
        <f>IF(OR(A30="Sa",A30="So")=TRUE,"",IF(OR([1]Variablen!$B$33="Ja",[1]Variablen!$B$33=""),"",IF(C30="","",IF(BM30&lt;TIME(6,0,0),"",IF($BL$14=2,1,IF($BL$14=1,0.5,""))))))</f>
        <v/>
      </c>
      <c r="X30" s="127"/>
      <c r="Y30" s="127"/>
      <c r="Z30" s="127"/>
      <c r="AA30" s="127"/>
      <c r="AB30" s="127"/>
      <c r="AC30" s="127"/>
      <c r="AD30" s="127"/>
      <c r="AE30" s="128"/>
      <c r="AF30" s="129"/>
      <c r="AG30" s="128"/>
      <c r="AH30" s="129"/>
      <c r="AI30" s="128"/>
      <c r="AJ30" s="129"/>
      <c r="AK30" s="128"/>
      <c r="AL30" s="129"/>
      <c r="AM30" s="127"/>
      <c r="AN30" s="122">
        <v>16</v>
      </c>
      <c r="AO30" s="4"/>
    </row>
    <row r="31" spans="1:41" x14ac:dyDescent="0.25">
      <c r="A31" s="121"/>
      <c r="B31" s="122">
        <v>17</v>
      </c>
      <c r="C31" s="123" t="str">
        <f>IF([1]Januar!C22="","",[1]Januar!C22)</f>
        <v/>
      </c>
      <c r="D31" s="124" t="str">
        <f>IF([1]Januar!D22="","",[1]Januar!D22)</f>
        <v/>
      </c>
      <c r="E31" s="125"/>
      <c r="F31" s="126"/>
      <c r="G31" s="125" t="str">
        <f t="shared" si="1"/>
        <v/>
      </c>
      <c r="H31" s="125" t="str">
        <f t="shared" si="6"/>
        <v/>
      </c>
      <c r="I31" s="125" t="str">
        <f t="shared" si="2"/>
        <v/>
      </c>
      <c r="J31" s="125" t="str">
        <f t="shared" si="0"/>
        <v/>
      </c>
      <c r="K31" s="125" t="str">
        <f t="shared" si="3"/>
        <v/>
      </c>
      <c r="L31" s="125" t="str">
        <f t="shared" si="4"/>
        <v/>
      </c>
      <c r="M31" s="125"/>
      <c r="N31" s="127" t="str">
        <f>IF((AND([1]Januar!J22="Rufbereitschaft",OR([1]Januar!B22="Mo",[1]Januar!B22="Di",[1]Januar!B22="Mi",[1]Januar!B22="Do",[1]Januar!B22="Fr")))=TRUE,1,"")</f>
        <v/>
      </c>
      <c r="O31" s="127" t="str">
        <f>IF((AND([1]Januar!J22="Rufbereitschaft",OR([1]Januar!B22="Sa",[1]Januar!B22="So")))=TRUE,1,"")</f>
        <v/>
      </c>
      <c r="P31" s="127"/>
      <c r="Q31" s="127"/>
      <c r="R31" s="127"/>
      <c r="S31" s="127"/>
      <c r="T31" s="127"/>
      <c r="U31" s="127"/>
      <c r="V31" s="127"/>
      <c r="W31" s="127" t="str">
        <f>IF(OR(A31="Sa",A31="So")=TRUE,"",IF(OR([1]Variablen!$B$33="Ja",[1]Variablen!$B$33=""),"",IF(C31="","",IF(BM31&lt;TIME(6,0,0),"",IF($BL$14=2,1,IF($BL$14=1,0.5,""))))))</f>
        <v/>
      </c>
      <c r="X31" s="127"/>
      <c r="Y31" s="127"/>
      <c r="Z31" s="127"/>
      <c r="AA31" s="127"/>
      <c r="AB31" s="127"/>
      <c r="AC31" s="127"/>
      <c r="AD31" s="127"/>
      <c r="AE31" s="128"/>
      <c r="AF31" s="129"/>
      <c r="AG31" s="128"/>
      <c r="AH31" s="129"/>
      <c r="AI31" s="128"/>
      <c r="AJ31" s="129"/>
      <c r="AK31" s="128"/>
      <c r="AL31" s="129"/>
      <c r="AM31" s="127"/>
      <c r="AN31" s="122">
        <v>17</v>
      </c>
      <c r="AO31" s="4"/>
    </row>
    <row r="32" spans="1:41" x14ac:dyDescent="0.25">
      <c r="A32" s="121"/>
      <c r="B32" s="122">
        <v>18</v>
      </c>
      <c r="C32" s="123" t="str">
        <f>IF([1]Januar!C23="","",[1]Januar!C23)</f>
        <v/>
      </c>
      <c r="D32" s="124" t="str">
        <f>IF([1]Januar!D23="","",[1]Januar!D23)</f>
        <v/>
      </c>
      <c r="E32" s="125"/>
      <c r="F32" s="126"/>
      <c r="G32" s="125" t="str">
        <f t="shared" si="1"/>
        <v/>
      </c>
      <c r="H32" s="125" t="str">
        <f t="shared" si="6"/>
        <v/>
      </c>
      <c r="I32" s="125" t="str">
        <f t="shared" si="2"/>
        <v/>
      </c>
      <c r="J32" s="125" t="str">
        <f t="shared" si="0"/>
        <v/>
      </c>
      <c r="K32" s="125" t="str">
        <f t="shared" si="3"/>
        <v/>
      </c>
      <c r="L32" s="125" t="str">
        <f t="shared" si="4"/>
        <v/>
      </c>
      <c r="M32" s="125"/>
      <c r="N32" s="127" t="str">
        <f>IF((AND([1]Januar!J23="Rufbereitschaft",OR([1]Januar!B23="Mo",[1]Januar!B23="Di",[1]Januar!B23="Mi",[1]Januar!B23="Do",[1]Januar!B23="Fr")))=TRUE,1,"")</f>
        <v/>
      </c>
      <c r="O32" s="127" t="str">
        <f>IF((AND([1]Januar!J23="Rufbereitschaft",OR([1]Januar!B23="Sa",[1]Januar!B23="So")))=TRUE,1,"")</f>
        <v/>
      </c>
      <c r="P32" s="127"/>
      <c r="Q32" s="127"/>
      <c r="R32" s="127"/>
      <c r="S32" s="127"/>
      <c r="T32" s="127"/>
      <c r="U32" s="127"/>
      <c r="V32" s="127"/>
      <c r="W32" s="127" t="str">
        <f>IF(OR(A32="Sa",A32="So")=TRUE,"",IF(OR([1]Variablen!$B$33="Ja",[1]Variablen!$B$33=""),"",IF(C32="","",IF(BM32&lt;TIME(6,0,0),"",IF($BL$14=2,1,IF($BL$14=1,0.5,""))))))</f>
        <v/>
      </c>
      <c r="X32" s="127"/>
      <c r="Y32" s="127"/>
      <c r="Z32" s="127"/>
      <c r="AA32" s="127"/>
      <c r="AB32" s="127"/>
      <c r="AC32" s="127"/>
      <c r="AD32" s="127"/>
      <c r="AE32" s="128"/>
      <c r="AF32" s="129"/>
      <c r="AG32" s="128"/>
      <c r="AH32" s="129"/>
      <c r="AI32" s="128"/>
      <c r="AJ32" s="129"/>
      <c r="AK32" s="128"/>
      <c r="AL32" s="129"/>
      <c r="AM32" s="127"/>
      <c r="AN32" s="122">
        <v>18</v>
      </c>
      <c r="AO32" s="4"/>
    </row>
    <row r="33" spans="1:41" x14ac:dyDescent="0.25">
      <c r="A33" s="121"/>
      <c r="B33" s="122">
        <v>19</v>
      </c>
      <c r="C33" s="123" t="str">
        <f>IF([1]Januar!C24="","",[1]Januar!C24)</f>
        <v/>
      </c>
      <c r="D33" s="124" t="str">
        <f>IF([1]Januar!D24="","",[1]Januar!D24)</f>
        <v/>
      </c>
      <c r="E33" s="125"/>
      <c r="F33" s="126"/>
      <c r="G33" s="125" t="str">
        <f t="shared" si="1"/>
        <v/>
      </c>
      <c r="H33" s="125" t="str">
        <f t="shared" si="6"/>
        <v/>
      </c>
      <c r="I33" s="125" t="str">
        <f t="shared" si="2"/>
        <v/>
      </c>
      <c r="J33" s="125" t="str">
        <f t="shared" si="0"/>
        <v/>
      </c>
      <c r="K33" s="125" t="str">
        <f t="shared" si="3"/>
        <v/>
      </c>
      <c r="L33" s="125" t="str">
        <f t="shared" si="4"/>
        <v/>
      </c>
      <c r="M33" s="125"/>
      <c r="N33" s="127" t="str">
        <f>IF((AND([1]Januar!J24="Rufbereitschaft",OR([1]Januar!B24="Mo",[1]Januar!B24="Di",[1]Januar!B24="Mi",[1]Januar!B24="Do",[1]Januar!B24="Fr")))=TRUE,1,"")</f>
        <v/>
      </c>
      <c r="O33" s="127" t="str">
        <f>IF((AND([1]Januar!J24="Rufbereitschaft",OR([1]Januar!B24="Sa",[1]Januar!B24="So")))=TRUE,1,"")</f>
        <v/>
      </c>
      <c r="P33" s="127"/>
      <c r="Q33" s="127"/>
      <c r="R33" s="127"/>
      <c r="S33" s="127"/>
      <c r="T33" s="127"/>
      <c r="U33" s="127"/>
      <c r="V33" s="127"/>
      <c r="W33" s="127" t="str">
        <f>IF(OR(A33="Sa",A33="So")=TRUE,"",IF(OR([1]Variablen!$B$33="Ja",[1]Variablen!$B$33=""),"",IF(C33="","",IF(BM33&lt;TIME(6,0,0),"",IF($BL$14=2,1,IF($BL$14=1,0.5,""))))))</f>
        <v/>
      </c>
      <c r="X33" s="127"/>
      <c r="Y33" s="127"/>
      <c r="Z33" s="127"/>
      <c r="AA33" s="127"/>
      <c r="AB33" s="127"/>
      <c r="AC33" s="127"/>
      <c r="AD33" s="127"/>
      <c r="AE33" s="128"/>
      <c r="AF33" s="129"/>
      <c r="AG33" s="128"/>
      <c r="AH33" s="129"/>
      <c r="AI33" s="128"/>
      <c r="AJ33" s="129"/>
      <c r="AK33" s="128"/>
      <c r="AL33" s="129"/>
      <c r="AM33" s="127"/>
      <c r="AN33" s="122">
        <v>19</v>
      </c>
      <c r="AO33" s="4"/>
    </row>
    <row r="34" spans="1:41" x14ac:dyDescent="0.25">
      <c r="A34" s="121"/>
      <c r="B34" s="122">
        <v>20</v>
      </c>
      <c r="C34" s="123" t="str">
        <f>IF([1]Januar!C25="","",[1]Januar!C25)</f>
        <v/>
      </c>
      <c r="D34" s="124" t="str">
        <f>IF([1]Januar!D25="","",[1]Januar!D25)</f>
        <v/>
      </c>
      <c r="E34" s="125"/>
      <c r="F34" s="126"/>
      <c r="G34" s="125" t="str">
        <f t="shared" si="1"/>
        <v/>
      </c>
      <c r="H34" s="125" t="str">
        <f t="shared" si="6"/>
        <v/>
      </c>
      <c r="I34" s="125" t="str">
        <f t="shared" si="2"/>
        <v/>
      </c>
      <c r="J34" s="125" t="str">
        <f t="shared" si="0"/>
        <v/>
      </c>
      <c r="K34" s="125" t="str">
        <f t="shared" si="3"/>
        <v/>
      </c>
      <c r="L34" s="125" t="str">
        <f t="shared" si="4"/>
        <v/>
      </c>
      <c r="M34" s="125"/>
      <c r="N34" s="127" t="str">
        <f>IF((AND([1]Januar!J25="Rufbereitschaft",OR([1]Januar!B25="Mo",[1]Januar!B25="Di",[1]Januar!B25="Mi",[1]Januar!B25="Do",[1]Januar!B25="Fr")))=TRUE,1,"")</f>
        <v/>
      </c>
      <c r="O34" s="127" t="str">
        <f>IF((AND([1]Januar!J25="Rufbereitschaft",OR([1]Januar!B25="Sa",[1]Januar!B25="So")))=TRUE,1,"")</f>
        <v/>
      </c>
      <c r="P34" s="127"/>
      <c r="Q34" s="127"/>
      <c r="R34" s="127"/>
      <c r="S34" s="127"/>
      <c r="T34" s="127"/>
      <c r="U34" s="127"/>
      <c r="V34" s="127"/>
      <c r="W34" s="127" t="str">
        <f>IF(OR(A34="Sa",A34="So")=TRUE,"",IF(OR([1]Variablen!$B$33="Ja",[1]Variablen!$B$33=""),"",IF(C34="","",IF(BM34&lt;TIME(6,0,0),"",IF($BL$14=2,1,IF($BL$14=1,0.5,""))))))</f>
        <v/>
      </c>
      <c r="X34" s="127"/>
      <c r="Y34" s="127"/>
      <c r="Z34" s="127"/>
      <c r="AA34" s="127"/>
      <c r="AB34" s="127"/>
      <c r="AC34" s="127"/>
      <c r="AD34" s="127"/>
      <c r="AE34" s="128"/>
      <c r="AF34" s="129"/>
      <c r="AG34" s="128"/>
      <c r="AH34" s="129"/>
      <c r="AI34" s="128"/>
      <c r="AJ34" s="129"/>
      <c r="AK34" s="128"/>
      <c r="AL34" s="129"/>
      <c r="AM34" s="127"/>
      <c r="AN34" s="122">
        <v>20</v>
      </c>
      <c r="AO34" s="4"/>
    </row>
    <row r="35" spans="1:41" x14ac:dyDescent="0.25">
      <c r="A35" s="121"/>
      <c r="B35" s="122">
        <v>21</v>
      </c>
      <c r="C35" s="123" t="str">
        <f>IF([1]Januar!C26="","",[1]Januar!C26)</f>
        <v/>
      </c>
      <c r="D35" s="124" t="str">
        <f>IF([1]Januar!D26="","",[1]Januar!D26)</f>
        <v/>
      </c>
      <c r="E35" s="125"/>
      <c r="F35" s="126"/>
      <c r="G35" s="125" t="str">
        <f t="shared" si="1"/>
        <v/>
      </c>
      <c r="H35" s="125" t="str">
        <f t="shared" si="6"/>
        <v/>
      </c>
      <c r="I35" s="125" t="str">
        <f t="shared" si="2"/>
        <v/>
      </c>
      <c r="J35" s="125" t="str">
        <f t="shared" si="0"/>
        <v/>
      </c>
      <c r="K35" s="125" t="str">
        <f t="shared" si="3"/>
        <v/>
      </c>
      <c r="L35" s="125" t="str">
        <f t="shared" si="4"/>
        <v/>
      </c>
      <c r="M35" s="125"/>
      <c r="N35" s="127" t="str">
        <f>IF((AND([1]Januar!J26="Rufbereitschaft",OR([1]Januar!B26="Mo",[1]Januar!B26="Di",[1]Januar!B26="Mi",[1]Januar!B26="Do",[1]Januar!B26="Fr")))=TRUE,1,"")</f>
        <v/>
      </c>
      <c r="O35" s="127" t="str">
        <f>IF((AND([1]Januar!J26="Rufbereitschaft",OR([1]Januar!B26="Sa",[1]Januar!B26="So")))=TRUE,1,"")</f>
        <v/>
      </c>
      <c r="P35" s="127"/>
      <c r="Q35" s="127"/>
      <c r="R35" s="127"/>
      <c r="S35" s="127"/>
      <c r="T35" s="127"/>
      <c r="U35" s="127"/>
      <c r="V35" s="127"/>
      <c r="W35" s="127" t="str">
        <f>IF(OR(A35="Sa",A35="So")=TRUE,"",IF(OR([1]Variablen!$B$33="Ja",[1]Variablen!$B$33=""),"",IF(C35="","",IF(BM35&lt;TIME(6,0,0),"",IF($BL$14=2,1,IF($BL$14=1,0.5,""))))))</f>
        <v/>
      </c>
      <c r="X35" s="127"/>
      <c r="Y35" s="127"/>
      <c r="Z35" s="127"/>
      <c r="AA35" s="127"/>
      <c r="AB35" s="127"/>
      <c r="AC35" s="127"/>
      <c r="AD35" s="127"/>
      <c r="AE35" s="128"/>
      <c r="AF35" s="129"/>
      <c r="AG35" s="128"/>
      <c r="AH35" s="129"/>
      <c r="AI35" s="128"/>
      <c r="AJ35" s="129"/>
      <c r="AK35" s="128"/>
      <c r="AL35" s="129"/>
      <c r="AM35" s="127"/>
      <c r="AN35" s="122">
        <v>21</v>
      </c>
      <c r="AO35" s="4"/>
    </row>
    <row r="36" spans="1:41" x14ac:dyDescent="0.25">
      <c r="A36" s="121"/>
      <c r="B36" s="122">
        <v>22</v>
      </c>
      <c r="C36" s="123" t="str">
        <f>IF([1]Januar!C27="","",[1]Januar!C27)</f>
        <v/>
      </c>
      <c r="D36" s="124" t="str">
        <f>IF([1]Januar!D27="","",[1]Januar!D27)</f>
        <v/>
      </c>
      <c r="E36" s="125"/>
      <c r="F36" s="126"/>
      <c r="G36" s="125" t="str">
        <f t="shared" si="1"/>
        <v/>
      </c>
      <c r="H36" s="125" t="str">
        <f t="shared" si="6"/>
        <v/>
      </c>
      <c r="I36" s="125" t="str">
        <f t="shared" si="2"/>
        <v/>
      </c>
      <c r="J36" s="125" t="str">
        <f t="shared" si="0"/>
        <v/>
      </c>
      <c r="K36" s="125" t="str">
        <f t="shared" si="3"/>
        <v/>
      </c>
      <c r="L36" s="125" t="str">
        <f t="shared" si="4"/>
        <v/>
      </c>
      <c r="M36" s="125"/>
      <c r="N36" s="127" t="str">
        <f>IF((AND([1]Januar!J27="Rufbereitschaft",OR([1]Januar!B27="Mo",[1]Januar!B27="Di",[1]Januar!B27="Mi",[1]Januar!B27="Do",[1]Januar!B27="Fr")))=TRUE,1,"")</f>
        <v/>
      </c>
      <c r="O36" s="127" t="str">
        <f>IF((AND([1]Januar!J27="Rufbereitschaft",OR([1]Januar!B27="Sa",[1]Januar!B27="So")))=TRUE,1,"")</f>
        <v/>
      </c>
      <c r="P36" s="127"/>
      <c r="Q36" s="127"/>
      <c r="R36" s="127"/>
      <c r="S36" s="127"/>
      <c r="T36" s="127"/>
      <c r="U36" s="127"/>
      <c r="V36" s="127"/>
      <c r="W36" s="127" t="str">
        <f>IF(OR(A36="Sa",A36="So")=TRUE,"",IF(OR([1]Variablen!$B$33="Ja",[1]Variablen!$B$33=""),"",IF(C36="","",IF(BM36&lt;TIME(6,0,0),"",IF($BL$14=2,1,IF($BL$14=1,0.5,""))))))</f>
        <v/>
      </c>
      <c r="X36" s="127"/>
      <c r="Y36" s="127"/>
      <c r="Z36" s="127"/>
      <c r="AA36" s="127"/>
      <c r="AB36" s="127"/>
      <c r="AC36" s="127"/>
      <c r="AD36" s="127"/>
      <c r="AE36" s="128"/>
      <c r="AF36" s="129"/>
      <c r="AG36" s="128"/>
      <c r="AH36" s="129"/>
      <c r="AI36" s="128"/>
      <c r="AJ36" s="129"/>
      <c r="AK36" s="128"/>
      <c r="AL36" s="129"/>
      <c r="AM36" s="127"/>
      <c r="AN36" s="122">
        <v>22</v>
      </c>
      <c r="AO36" s="4"/>
    </row>
    <row r="37" spans="1:41" x14ac:dyDescent="0.25">
      <c r="A37" s="121"/>
      <c r="B37" s="122">
        <v>23</v>
      </c>
      <c r="C37" s="123" t="str">
        <f>IF([1]Januar!C28="","",[1]Januar!C28)</f>
        <v/>
      </c>
      <c r="D37" s="124" t="str">
        <f>IF([1]Januar!D28="","",[1]Januar!D28)</f>
        <v/>
      </c>
      <c r="E37" s="125"/>
      <c r="F37" s="126"/>
      <c r="G37" s="125" t="str">
        <f t="shared" si="1"/>
        <v/>
      </c>
      <c r="H37" s="125" t="str">
        <f t="shared" si="6"/>
        <v/>
      </c>
      <c r="I37" s="125" t="str">
        <f t="shared" si="2"/>
        <v/>
      </c>
      <c r="J37" s="125" t="str">
        <f t="shared" si="0"/>
        <v/>
      </c>
      <c r="K37" s="125" t="str">
        <f t="shared" si="3"/>
        <v/>
      </c>
      <c r="L37" s="125" t="str">
        <f t="shared" si="4"/>
        <v/>
      </c>
      <c r="M37" s="125"/>
      <c r="N37" s="127" t="str">
        <f>IF((AND([1]Januar!J28="Rufbereitschaft",OR([1]Januar!B28="Mo",[1]Januar!B28="Di",[1]Januar!B28="Mi",[1]Januar!B28="Do",[1]Januar!B28="Fr")))=TRUE,1,"")</f>
        <v/>
      </c>
      <c r="O37" s="127" t="str">
        <f>IF((AND([1]Januar!J28="Rufbereitschaft",OR([1]Januar!B28="Sa",[1]Januar!B28="So")))=TRUE,1,"")</f>
        <v/>
      </c>
      <c r="P37" s="127"/>
      <c r="Q37" s="127"/>
      <c r="R37" s="127"/>
      <c r="S37" s="127"/>
      <c r="T37" s="127"/>
      <c r="U37" s="127"/>
      <c r="V37" s="127"/>
      <c r="W37" s="127" t="str">
        <f>IF(OR(A37="Sa",A37="So")=TRUE,"",IF(OR([1]Variablen!$B$33="Ja",[1]Variablen!$B$33=""),"",IF(C37="","",IF(BM37&lt;TIME(6,0,0),"",IF($BL$14=2,1,IF($BL$14=1,0.5,""))))))</f>
        <v/>
      </c>
      <c r="X37" s="127"/>
      <c r="Y37" s="127"/>
      <c r="Z37" s="127"/>
      <c r="AA37" s="127"/>
      <c r="AB37" s="127"/>
      <c r="AC37" s="127"/>
      <c r="AD37" s="127"/>
      <c r="AE37" s="128"/>
      <c r="AF37" s="129"/>
      <c r="AG37" s="128"/>
      <c r="AH37" s="129"/>
      <c r="AI37" s="128"/>
      <c r="AJ37" s="129"/>
      <c r="AK37" s="128"/>
      <c r="AL37" s="129"/>
      <c r="AM37" s="127"/>
      <c r="AN37" s="122">
        <v>23</v>
      </c>
      <c r="AO37" s="4"/>
    </row>
    <row r="38" spans="1:41" x14ac:dyDescent="0.25">
      <c r="A38" s="121"/>
      <c r="B38" s="122">
        <v>24</v>
      </c>
      <c r="C38" s="123" t="str">
        <f>IF([1]Januar!C29="","",[1]Januar!C29)</f>
        <v/>
      </c>
      <c r="D38" s="124" t="str">
        <f>IF([1]Januar!D29="","",[1]Januar!D29)</f>
        <v/>
      </c>
      <c r="E38" s="125"/>
      <c r="F38" s="126"/>
      <c r="G38" s="125" t="str">
        <f t="shared" si="1"/>
        <v/>
      </c>
      <c r="H38" s="125" t="str">
        <f t="shared" si="6"/>
        <v/>
      </c>
      <c r="I38" s="125" t="str">
        <f t="shared" si="2"/>
        <v/>
      </c>
      <c r="J38" s="125" t="str">
        <f t="shared" si="0"/>
        <v/>
      </c>
      <c r="K38" s="125" t="str">
        <f t="shared" si="3"/>
        <v/>
      </c>
      <c r="L38" s="125" t="str">
        <f t="shared" si="4"/>
        <v/>
      </c>
      <c r="M38" s="125"/>
      <c r="N38" s="127" t="str">
        <f>IF((AND([1]Januar!J29="Rufbereitschaft",OR([1]Januar!B29="Mo",[1]Januar!B29="Di",[1]Januar!B29="Mi",[1]Januar!B29="Do",[1]Januar!B29="Fr")))=TRUE,1,"")</f>
        <v/>
      </c>
      <c r="O38" s="127" t="str">
        <f>IF((AND([1]Januar!J29="Rufbereitschaft",OR([1]Januar!B29="Sa",[1]Januar!B29="So")))=TRUE,1,"")</f>
        <v/>
      </c>
      <c r="P38" s="127"/>
      <c r="Q38" s="127"/>
      <c r="R38" s="127"/>
      <c r="S38" s="127"/>
      <c r="T38" s="127"/>
      <c r="U38" s="127"/>
      <c r="V38" s="127"/>
      <c r="W38" s="127" t="str">
        <f>IF(OR(A38="Sa",A38="So")=TRUE,"",IF(OR([1]Variablen!$B$33="Ja",[1]Variablen!$B$33=""),"",IF(C38="","",IF(BM38&lt;TIME(6,0,0),"",IF($BL$14=2,1,IF($BL$14=1,0.5,""))))))</f>
        <v/>
      </c>
      <c r="X38" s="127"/>
      <c r="Y38" s="127"/>
      <c r="Z38" s="127"/>
      <c r="AA38" s="127"/>
      <c r="AB38" s="127"/>
      <c r="AC38" s="127"/>
      <c r="AD38" s="127"/>
      <c r="AE38" s="128"/>
      <c r="AF38" s="129"/>
      <c r="AG38" s="128"/>
      <c r="AH38" s="129"/>
      <c r="AI38" s="128"/>
      <c r="AJ38" s="129"/>
      <c r="AK38" s="128"/>
      <c r="AL38" s="129"/>
      <c r="AM38" s="127"/>
      <c r="AN38" s="122">
        <v>24</v>
      </c>
      <c r="AO38" s="4"/>
    </row>
    <row r="39" spans="1:41" x14ac:dyDescent="0.25">
      <c r="A39" s="121"/>
      <c r="B39" s="122">
        <v>25</v>
      </c>
      <c r="C39" s="123" t="str">
        <f>IF([1]Januar!C30="","",[1]Januar!C30)</f>
        <v/>
      </c>
      <c r="D39" s="124" t="str">
        <f>IF([1]Januar!D30="","",[1]Januar!D30)</f>
        <v/>
      </c>
      <c r="E39" s="125"/>
      <c r="F39" s="126"/>
      <c r="G39" s="125" t="str">
        <f t="shared" si="1"/>
        <v/>
      </c>
      <c r="H39" s="125" t="str">
        <f t="shared" si="6"/>
        <v/>
      </c>
      <c r="I39" s="125" t="str">
        <f t="shared" si="2"/>
        <v/>
      </c>
      <c r="J39" s="125" t="str">
        <f t="shared" si="0"/>
        <v/>
      </c>
      <c r="K39" s="125" t="str">
        <f t="shared" si="3"/>
        <v/>
      </c>
      <c r="L39" s="125" t="str">
        <f t="shared" si="4"/>
        <v/>
      </c>
      <c r="M39" s="125"/>
      <c r="N39" s="127" t="str">
        <f>IF((AND([1]Januar!J30="Rufbereitschaft",OR([1]Januar!B30="Mo",[1]Januar!B30="Di",[1]Januar!B30="Mi",[1]Januar!B30="Do",[1]Januar!B30="Fr")))=TRUE,1,"")</f>
        <v/>
      </c>
      <c r="O39" s="127" t="str">
        <f>IF((AND([1]Januar!J30="Rufbereitschaft",OR([1]Januar!B30="Sa",[1]Januar!B30="So")))=TRUE,1,"")</f>
        <v/>
      </c>
      <c r="P39" s="127"/>
      <c r="Q39" s="127"/>
      <c r="R39" s="127"/>
      <c r="S39" s="127"/>
      <c r="T39" s="127"/>
      <c r="U39" s="127"/>
      <c r="V39" s="127"/>
      <c r="W39" s="127" t="str">
        <f>IF(OR(A39="Sa",A39="So")=TRUE,"",IF(OR([1]Variablen!$B$33="Ja",[1]Variablen!$B$33=""),"",IF(C39="","",IF(BM39&lt;TIME(6,0,0),"",IF($BL$14=2,1,IF($BL$14=1,0.5,""))))))</f>
        <v/>
      </c>
      <c r="X39" s="127"/>
      <c r="Y39" s="127"/>
      <c r="Z39" s="127"/>
      <c r="AA39" s="127"/>
      <c r="AB39" s="127"/>
      <c r="AC39" s="127"/>
      <c r="AD39" s="127"/>
      <c r="AE39" s="128"/>
      <c r="AF39" s="129"/>
      <c r="AG39" s="128"/>
      <c r="AH39" s="129"/>
      <c r="AI39" s="128"/>
      <c r="AJ39" s="129"/>
      <c r="AK39" s="128"/>
      <c r="AL39" s="129"/>
      <c r="AM39" s="127"/>
      <c r="AN39" s="122">
        <v>25</v>
      </c>
      <c r="AO39" s="4"/>
    </row>
    <row r="40" spans="1:41" x14ac:dyDescent="0.25">
      <c r="A40" s="121"/>
      <c r="B40" s="122">
        <v>26</v>
      </c>
      <c r="C40" s="123" t="str">
        <f>IF([1]Januar!C31="","",[1]Januar!C31)</f>
        <v/>
      </c>
      <c r="D40" s="124" t="str">
        <f>IF([1]Januar!D31="","",[1]Januar!D31)</f>
        <v/>
      </c>
      <c r="E40" s="125"/>
      <c r="F40" s="126"/>
      <c r="G40" s="125" t="str">
        <f t="shared" si="1"/>
        <v/>
      </c>
      <c r="H40" s="125" t="str">
        <f t="shared" si="6"/>
        <v/>
      </c>
      <c r="I40" s="125" t="str">
        <f t="shared" si="2"/>
        <v/>
      </c>
      <c r="J40" s="125" t="str">
        <f t="shared" si="0"/>
        <v/>
      </c>
      <c r="K40" s="125" t="str">
        <f t="shared" si="3"/>
        <v/>
      </c>
      <c r="L40" s="125" t="str">
        <f t="shared" si="4"/>
        <v/>
      </c>
      <c r="M40" s="125"/>
      <c r="N40" s="127" t="str">
        <f>IF((AND([1]Januar!J31="Rufbereitschaft",OR([1]Januar!B31="Mo",[1]Januar!B31="Di",[1]Januar!B31="Mi",[1]Januar!B31="Do",[1]Januar!B31="Fr")))=TRUE,1,"")</f>
        <v/>
      </c>
      <c r="O40" s="127" t="str">
        <f>IF((AND([1]Januar!J31="Rufbereitschaft",OR([1]Januar!B31="Sa",[1]Januar!B31="So")))=TRUE,1,"")</f>
        <v/>
      </c>
      <c r="P40" s="127"/>
      <c r="Q40" s="127"/>
      <c r="R40" s="127"/>
      <c r="S40" s="127"/>
      <c r="T40" s="127"/>
      <c r="U40" s="127"/>
      <c r="V40" s="127"/>
      <c r="W40" s="127" t="str">
        <f>IF(OR(A40="Sa",A40="So")=TRUE,"",IF(OR([1]Variablen!$B$33="Ja",[1]Variablen!$B$33=""),"",IF(C40="","",IF(BM40&lt;TIME(6,0,0),"",IF($BL$14=2,1,IF($BL$14=1,0.5,""))))))</f>
        <v/>
      </c>
      <c r="X40" s="127"/>
      <c r="Y40" s="127"/>
      <c r="Z40" s="127"/>
      <c r="AA40" s="127"/>
      <c r="AB40" s="127"/>
      <c r="AC40" s="127"/>
      <c r="AD40" s="127"/>
      <c r="AE40" s="128"/>
      <c r="AF40" s="129"/>
      <c r="AG40" s="128"/>
      <c r="AH40" s="129"/>
      <c r="AI40" s="128"/>
      <c r="AJ40" s="129"/>
      <c r="AK40" s="128"/>
      <c r="AL40" s="129"/>
      <c r="AM40" s="127"/>
      <c r="AN40" s="122">
        <v>26</v>
      </c>
      <c r="AO40" s="4"/>
    </row>
    <row r="41" spans="1:41" x14ac:dyDescent="0.25">
      <c r="A41" s="121"/>
      <c r="B41" s="122">
        <v>27</v>
      </c>
      <c r="C41" s="123" t="str">
        <f>IF([1]Januar!C32="","",[1]Januar!C32)</f>
        <v/>
      </c>
      <c r="D41" s="124" t="str">
        <f>IF([1]Januar!D32="","",[1]Januar!D32)</f>
        <v/>
      </c>
      <c r="E41" s="125"/>
      <c r="F41" s="126"/>
      <c r="G41" s="125" t="str">
        <f t="shared" si="1"/>
        <v/>
      </c>
      <c r="H41" s="125" t="str">
        <f t="shared" si="6"/>
        <v/>
      </c>
      <c r="I41" s="125" t="str">
        <f t="shared" si="2"/>
        <v/>
      </c>
      <c r="J41" s="125" t="str">
        <f t="shared" si="0"/>
        <v/>
      </c>
      <c r="K41" s="125" t="str">
        <f t="shared" si="3"/>
        <v/>
      </c>
      <c r="L41" s="125" t="str">
        <f t="shared" si="4"/>
        <v/>
      </c>
      <c r="M41" s="125"/>
      <c r="N41" s="127" t="str">
        <f>IF((AND([1]Januar!J32="Rufbereitschaft",OR([1]Januar!B32="Mo",[1]Januar!B32="Di",[1]Januar!B32="Mi",[1]Januar!B32="Do",[1]Januar!B32="Fr")))=TRUE,1,"")</f>
        <v/>
      </c>
      <c r="O41" s="127" t="str">
        <f>IF((AND([1]Januar!J32="Rufbereitschaft",OR([1]Januar!B32="Sa",[1]Januar!B32="So")))=TRUE,1,"")</f>
        <v/>
      </c>
      <c r="P41" s="127"/>
      <c r="Q41" s="127"/>
      <c r="R41" s="127"/>
      <c r="S41" s="127"/>
      <c r="T41" s="127"/>
      <c r="U41" s="127"/>
      <c r="V41" s="127"/>
      <c r="W41" s="127" t="str">
        <f>IF(OR(A41="Sa",A41="So")=TRUE,"",IF(OR([1]Variablen!$B$33="Ja",[1]Variablen!$B$33=""),"",IF(C41="","",IF(BM41&lt;TIME(6,0,0),"",IF($BL$14=2,1,IF($BL$14=1,0.5,""))))))</f>
        <v/>
      </c>
      <c r="X41" s="127"/>
      <c r="Y41" s="127"/>
      <c r="Z41" s="127"/>
      <c r="AA41" s="127"/>
      <c r="AB41" s="127"/>
      <c r="AC41" s="127"/>
      <c r="AD41" s="127"/>
      <c r="AE41" s="128"/>
      <c r="AF41" s="129"/>
      <c r="AG41" s="128"/>
      <c r="AH41" s="129"/>
      <c r="AI41" s="128"/>
      <c r="AJ41" s="129"/>
      <c r="AK41" s="128"/>
      <c r="AL41" s="129"/>
      <c r="AM41" s="127"/>
      <c r="AN41" s="122">
        <v>27</v>
      </c>
      <c r="AO41" s="4"/>
    </row>
    <row r="42" spans="1:41" x14ac:dyDescent="0.25">
      <c r="A42" s="121"/>
      <c r="B42" s="122">
        <v>28</v>
      </c>
      <c r="C42" s="123" t="str">
        <f>IF([1]Januar!C33="","",[1]Januar!C33)</f>
        <v/>
      </c>
      <c r="D42" s="124" t="str">
        <f>IF([1]Januar!D33="","",[1]Januar!D33)</f>
        <v/>
      </c>
      <c r="E42" s="125"/>
      <c r="F42" s="126"/>
      <c r="G42" s="125" t="str">
        <f t="shared" si="1"/>
        <v/>
      </c>
      <c r="H42" s="125" t="str">
        <f t="shared" si="6"/>
        <v/>
      </c>
      <c r="I42" s="125" t="str">
        <f t="shared" si="2"/>
        <v/>
      </c>
      <c r="J42" s="125" t="str">
        <f t="shared" si="0"/>
        <v/>
      </c>
      <c r="K42" s="125" t="str">
        <f t="shared" si="3"/>
        <v/>
      </c>
      <c r="L42" s="125" t="str">
        <f t="shared" si="4"/>
        <v/>
      </c>
      <c r="M42" s="125"/>
      <c r="N42" s="127" t="str">
        <f>IF((AND([1]Januar!J33="Rufbereitschaft",OR([1]Januar!B33="Mo",[1]Januar!B33="Di",[1]Januar!B33="Mi",[1]Januar!B33="Do",[1]Januar!B33="Fr")))=TRUE,1,"")</f>
        <v/>
      </c>
      <c r="O42" s="127" t="str">
        <f>IF((AND([1]Januar!J33="Rufbereitschaft",OR([1]Januar!B33="Sa",[1]Januar!B33="So")))=TRUE,1,"")</f>
        <v/>
      </c>
      <c r="P42" s="127"/>
      <c r="Q42" s="127"/>
      <c r="R42" s="127"/>
      <c r="S42" s="127"/>
      <c r="T42" s="127"/>
      <c r="U42" s="127"/>
      <c r="V42" s="127"/>
      <c r="W42" s="127" t="str">
        <f>IF(OR(A42="Sa",A42="So")=TRUE,"",IF(OR([1]Variablen!$B$33="Ja",[1]Variablen!$B$33=""),"",IF(C42="","",IF(BM42&lt;TIME(6,0,0),"",IF($BL$14=2,1,IF($BL$14=1,0.5,""))))))</f>
        <v/>
      </c>
      <c r="X42" s="127"/>
      <c r="Y42" s="127"/>
      <c r="Z42" s="127"/>
      <c r="AA42" s="127"/>
      <c r="AB42" s="127"/>
      <c r="AC42" s="127"/>
      <c r="AD42" s="127"/>
      <c r="AE42" s="128"/>
      <c r="AF42" s="129"/>
      <c r="AG42" s="128"/>
      <c r="AH42" s="129"/>
      <c r="AI42" s="128"/>
      <c r="AJ42" s="129"/>
      <c r="AK42" s="128"/>
      <c r="AL42" s="129"/>
      <c r="AM42" s="127"/>
      <c r="AN42" s="122">
        <v>28</v>
      </c>
      <c r="AO42" s="4"/>
    </row>
    <row r="43" spans="1:41" x14ac:dyDescent="0.25">
      <c r="A43" s="121"/>
      <c r="B43" s="122">
        <v>29</v>
      </c>
      <c r="C43" s="123" t="str">
        <f>IF([1]Januar!C34="","",[1]Januar!C34)</f>
        <v/>
      </c>
      <c r="D43" s="124" t="str">
        <f>IF([1]Januar!D34="","",[1]Januar!D34)</f>
        <v/>
      </c>
      <c r="E43" s="125"/>
      <c r="F43" s="126"/>
      <c r="G43" s="125" t="str">
        <f t="shared" si="1"/>
        <v/>
      </c>
      <c r="H43" s="125" t="str">
        <f t="shared" si="6"/>
        <v/>
      </c>
      <c r="I43" s="125" t="str">
        <f t="shared" si="2"/>
        <v/>
      </c>
      <c r="J43" s="125" t="str">
        <f t="shared" si="0"/>
        <v/>
      </c>
      <c r="K43" s="125" t="str">
        <f t="shared" si="3"/>
        <v/>
      </c>
      <c r="L43" s="125" t="str">
        <f t="shared" si="4"/>
        <v/>
      </c>
      <c r="M43" s="125"/>
      <c r="N43" s="127" t="str">
        <f>IF((AND([1]Januar!J34="Rufbereitschaft",OR([1]Januar!B34="Mo",[1]Januar!B34="Di",[1]Januar!B34="Mi",[1]Januar!B34="Do",[1]Januar!B34="Fr")))=TRUE,1,"")</f>
        <v/>
      </c>
      <c r="O43" s="127" t="str">
        <f>IF((AND([1]Januar!J34="Rufbereitschaft",OR([1]Januar!B34="Sa",[1]Januar!B34="So")))=TRUE,1,"")</f>
        <v/>
      </c>
      <c r="P43" s="127"/>
      <c r="Q43" s="127"/>
      <c r="R43" s="127"/>
      <c r="S43" s="127"/>
      <c r="T43" s="127"/>
      <c r="U43" s="127"/>
      <c r="V43" s="127"/>
      <c r="W43" s="127" t="str">
        <f>IF(OR(A43="Sa",A43="So")=TRUE,"",IF(OR([1]Variablen!$B$33="Ja",[1]Variablen!$B$33=""),"",IF(C43="","",IF(BM43&lt;TIME(6,0,0),"",IF($BL$14=2,1,IF($BL$14=1,0.5,""))))))</f>
        <v/>
      </c>
      <c r="X43" s="127"/>
      <c r="Y43" s="127"/>
      <c r="Z43" s="127"/>
      <c r="AA43" s="127"/>
      <c r="AB43" s="127"/>
      <c r="AC43" s="127"/>
      <c r="AD43" s="127"/>
      <c r="AE43" s="128"/>
      <c r="AF43" s="129"/>
      <c r="AG43" s="128"/>
      <c r="AH43" s="129"/>
      <c r="AI43" s="128"/>
      <c r="AJ43" s="129"/>
      <c r="AK43" s="128"/>
      <c r="AL43" s="129"/>
      <c r="AM43" s="127"/>
      <c r="AN43" s="122">
        <v>29</v>
      </c>
      <c r="AO43" s="4"/>
    </row>
    <row r="44" spans="1:41" x14ac:dyDescent="0.25">
      <c r="A44" s="121"/>
      <c r="B44" s="122">
        <v>30</v>
      </c>
      <c r="C44" s="123" t="str">
        <f>IF([1]Januar!C35="","",[1]Januar!C35)</f>
        <v/>
      </c>
      <c r="D44" s="124" t="str">
        <f>IF([1]Januar!D35="","",[1]Januar!D35)</f>
        <v/>
      </c>
      <c r="E44" s="125"/>
      <c r="F44" s="126"/>
      <c r="G44" s="125" t="str">
        <f t="shared" si="1"/>
        <v/>
      </c>
      <c r="H44" s="125" t="str">
        <f t="shared" si="6"/>
        <v/>
      </c>
      <c r="I44" s="125" t="str">
        <f t="shared" si="2"/>
        <v/>
      </c>
      <c r="J44" s="125" t="str">
        <f t="shared" si="0"/>
        <v/>
      </c>
      <c r="K44" s="125" t="str">
        <f t="shared" si="3"/>
        <v/>
      </c>
      <c r="L44" s="125" t="str">
        <f t="shared" si="4"/>
        <v/>
      </c>
      <c r="M44" s="125"/>
      <c r="N44" s="127" t="str">
        <f>IF((AND([1]Januar!J35="Rufbereitschaft",OR([1]Januar!B35="Mo",[1]Januar!B35="Di",[1]Januar!B35="Mi",[1]Januar!B35="Do",[1]Januar!B35="Fr")))=TRUE,1,"")</f>
        <v/>
      </c>
      <c r="O44" s="127" t="str">
        <f>IF((AND([1]Januar!J35="Rufbereitschaft",OR([1]Januar!B35="Sa",[1]Januar!B35="So")))=TRUE,1,"")</f>
        <v/>
      </c>
      <c r="P44" s="127"/>
      <c r="Q44" s="127"/>
      <c r="R44" s="127"/>
      <c r="S44" s="127"/>
      <c r="T44" s="127"/>
      <c r="U44" s="127"/>
      <c r="V44" s="127"/>
      <c r="W44" s="127" t="str">
        <f>IF(OR(A44="Sa",A44="So")=TRUE,"",IF(OR([1]Variablen!$B$33="Ja",[1]Variablen!$B$33=""),"",IF(C44="","",IF(BM44&lt;TIME(6,0,0),"",IF($BL$14=2,1,IF($BL$14=1,0.5,""))))))</f>
        <v/>
      </c>
      <c r="X44" s="127"/>
      <c r="Y44" s="127"/>
      <c r="Z44" s="127"/>
      <c r="AA44" s="127"/>
      <c r="AB44" s="127"/>
      <c r="AC44" s="127"/>
      <c r="AD44" s="127"/>
      <c r="AE44" s="128"/>
      <c r="AF44" s="129"/>
      <c r="AG44" s="128"/>
      <c r="AH44" s="129"/>
      <c r="AI44" s="128"/>
      <c r="AJ44" s="129"/>
      <c r="AK44" s="128"/>
      <c r="AL44" s="129"/>
      <c r="AM44" s="127"/>
      <c r="AN44" s="122">
        <v>30</v>
      </c>
      <c r="AO44" s="4"/>
    </row>
    <row r="45" spans="1:41" x14ac:dyDescent="0.25">
      <c r="A45" s="121"/>
      <c r="B45" s="122">
        <v>31</v>
      </c>
      <c r="C45" s="123" t="str">
        <f>IF([1]Januar!C36="","",[1]Januar!C36)</f>
        <v/>
      </c>
      <c r="D45" s="124" t="str">
        <f>IF([1]Januar!D36="","",[1]Januar!D36)</f>
        <v/>
      </c>
      <c r="E45" s="125"/>
      <c r="F45" s="126"/>
      <c r="G45" s="125" t="str">
        <f t="shared" si="1"/>
        <v/>
      </c>
      <c r="H45" s="125" t="str">
        <f t="shared" si="6"/>
        <v/>
      </c>
      <c r="I45" s="125" t="str">
        <f t="shared" si="2"/>
        <v/>
      </c>
      <c r="J45" s="125" t="str">
        <f t="shared" si="0"/>
        <v/>
      </c>
      <c r="K45" s="125" t="str">
        <f t="shared" si="3"/>
        <v/>
      </c>
      <c r="L45" s="125" t="str">
        <f t="shared" si="4"/>
        <v/>
      </c>
      <c r="M45" s="125"/>
      <c r="N45" s="127" t="str">
        <f>IF((AND([1]Januar!J36="Rufbereitschaft",OR([1]Januar!B36="Mo",[1]Januar!B36="Di",[1]Januar!B36="Mi",[1]Januar!B36="Do",[1]Januar!B36="Fr")))=TRUE,1,"")</f>
        <v/>
      </c>
      <c r="O45" s="127" t="str">
        <f>IF((AND([1]Januar!J36="Rufbereitschaft",OR([1]Januar!B36="Sa",[1]Januar!B36="So")))=TRUE,1,"")</f>
        <v/>
      </c>
      <c r="P45" s="127"/>
      <c r="Q45" s="127"/>
      <c r="R45" s="127"/>
      <c r="S45" s="127"/>
      <c r="T45" s="127"/>
      <c r="U45" s="127"/>
      <c r="V45" s="127"/>
      <c r="W45" s="127" t="str">
        <f>IF(OR(A45="Sa",A45="So")=TRUE,"",IF(OR([1]Variablen!$B$33="Ja",[1]Variablen!$B$33=""),"",IF(C45="","",IF(BM45&lt;TIME(6,0,0),"",IF($BL$14=2,1,IF($BL$14=1,0.5,""))))))</f>
        <v/>
      </c>
      <c r="X45" s="127"/>
      <c r="Y45" s="127"/>
      <c r="Z45" s="127"/>
      <c r="AA45" s="127"/>
      <c r="AB45" s="127"/>
      <c r="AC45" s="127"/>
      <c r="AD45" s="127"/>
      <c r="AE45" s="128"/>
      <c r="AF45" s="129"/>
      <c r="AG45" s="128"/>
      <c r="AH45" s="129"/>
      <c r="AI45" s="128"/>
      <c r="AJ45" s="129"/>
      <c r="AK45" s="128"/>
      <c r="AL45" s="129"/>
      <c r="AM45" s="127"/>
      <c r="AN45" s="122">
        <v>31</v>
      </c>
      <c r="AO45" s="4"/>
    </row>
    <row r="46" spans="1:41" ht="15.75" x14ac:dyDescent="0.25">
      <c r="C46" s="132" t="s">
        <v>47</v>
      </c>
      <c r="D46" s="133"/>
      <c r="E46" s="134" t="str">
        <f>IF(SUM(E15:E45)=0,"",SUM(E15:E45))</f>
        <v/>
      </c>
      <c r="F46" s="134" t="str">
        <f t="shared" ref="F46:Y46" si="7">IF(SUM(F15:F45)=0,"",SUM(F15:F45))</f>
        <v/>
      </c>
      <c r="G46" s="134" t="str">
        <f t="shared" si="7"/>
        <v/>
      </c>
      <c r="H46" s="134" t="str">
        <f t="shared" si="7"/>
        <v/>
      </c>
      <c r="I46" s="134" t="str">
        <f t="shared" si="7"/>
        <v/>
      </c>
      <c r="J46" s="134" t="str">
        <f>IF(SUM(J15:J45)=0,"",SUM(J15:J45))</f>
        <v/>
      </c>
      <c r="K46" s="134" t="str">
        <f t="shared" si="7"/>
        <v/>
      </c>
      <c r="L46" s="134" t="str">
        <f t="shared" si="7"/>
        <v/>
      </c>
      <c r="M46" s="134" t="str">
        <f t="shared" si="7"/>
        <v/>
      </c>
      <c r="N46" s="133" t="str">
        <f t="shared" si="7"/>
        <v/>
      </c>
      <c r="O46" s="133" t="str">
        <f t="shared" si="7"/>
        <v/>
      </c>
      <c r="P46" s="133" t="str">
        <f t="shared" si="7"/>
        <v/>
      </c>
      <c r="Q46" s="133" t="str">
        <f t="shared" si="7"/>
        <v/>
      </c>
      <c r="R46" s="133" t="str">
        <f t="shared" si="7"/>
        <v/>
      </c>
      <c r="S46" s="133" t="str">
        <f t="shared" si="7"/>
        <v/>
      </c>
      <c r="T46" s="133" t="str">
        <f t="shared" si="7"/>
        <v/>
      </c>
      <c r="U46" s="133" t="str">
        <f t="shared" si="7"/>
        <v/>
      </c>
      <c r="V46" s="133" t="str">
        <f t="shared" si="7"/>
        <v/>
      </c>
      <c r="W46" s="133" t="str">
        <f t="shared" si="7"/>
        <v/>
      </c>
      <c r="X46" s="133" t="str">
        <f t="shared" si="7"/>
        <v/>
      </c>
      <c r="Y46" s="133" t="str">
        <f t="shared" si="7"/>
        <v/>
      </c>
      <c r="Z46" s="133" t="str">
        <f>IF(SUM(Z15:Z45)=0,"",SUM(Z15:Z45))</f>
        <v/>
      </c>
      <c r="AA46" s="133" t="str">
        <f t="shared" ref="AA46:AC46" si="8">IF(SUM(AA15:AA45)=0,"",SUM(AA15:AA45))</f>
        <v/>
      </c>
      <c r="AB46" s="133" t="str">
        <f t="shared" si="8"/>
        <v/>
      </c>
      <c r="AC46" s="133" t="str">
        <f t="shared" si="8"/>
        <v/>
      </c>
      <c r="AD46" s="133" t="str">
        <f>IF(SUM(AD15:AD45)=0,"",SUM(AD15:AD45))</f>
        <v/>
      </c>
      <c r="AE46" s="135" t="str">
        <f>IF(SUM(AE15:AF45)=0,"",SUM(AE15:AF45))</f>
        <v/>
      </c>
      <c r="AF46" s="136"/>
      <c r="AG46" s="135" t="str">
        <f>IF(SUM(AG15:AH45)=0,"",SUM(AG15:AH45))</f>
        <v/>
      </c>
      <c r="AH46" s="136"/>
      <c r="AI46" s="135" t="str">
        <f>IF(SUM(AI15:AJ45)=0,"",SUM(AI15:AJ45))</f>
        <v/>
      </c>
      <c r="AJ46" s="136"/>
      <c r="AK46" s="135" t="str">
        <f>IF(SUM(AK15:AL45)=0,"",SUM(AK15:AL45))</f>
        <v/>
      </c>
      <c r="AL46" s="136"/>
      <c r="AM46" s="133" t="str">
        <f>IF(SUM(AM15:AM45)=0,"",SUM(AM15:AM45))</f>
        <v/>
      </c>
      <c r="AN46" s="122" t="s">
        <v>47</v>
      </c>
      <c r="AO46" s="4"/>
    </row>
    <row r="47" spans="1:41" x14ac:dyDescent="0.25">
      <c r="AO47" s="4"/>
    </row>
    <row r="48" spans="1:41" x14ac:dyDescent="0.25">
      <c r="C48" s="137">
        <v>2010</v>
      </c>
      <c r="D48" s="138" t="s">
        <v>48</v>
      </c>
      <c r="E48" s="138" t="s">
        <v>49</v>
      </c>
      <c r="F48" s="138" t="s">
        <v>50</v>
      </c>
      <c r="G48" s="138" t="s">
        <v>51</v>
      </c>
      <c r="H48" s="138" t="s">
        <v>52</v>
      </c>
      <c r="I48" s="138" t="s">
        <v>53</v>
      </c>
      <c r="J48" s="138" t="s">
        <v>54</v>
      </c>
      <c r="K48" s="138" t="s">
        <v>55</v>
      </c>
      <c r="L48" s="138" t="s">
        <v>56</v>
      </c>
      <c r="M48" s="138" t="s">
        <v>57</v>
      </c>
      <c r="N48" s="138" t="s">
        <v>58</v>
      </c>
      <c r="O48" s="138" t="s">
        <v>59</v>
      </c>
      <c r="P48" s="138" t="s">
        <v>60</v>
      </c>
      <c r="Q48" s="138" t="s">
        <v>60</v>
      </c>
      <c r="R48" s="138" t="s">
        <v>61</v>
      </c>
      <c r="S48" s="138" t="s">
        <v>62</v>
      </c>
      <c r="T48" s="138" t="s">
        <v>63</v>
      </c>
      <c r="U48" s="138" t="s">
        <v>64</v>
      </c>
      <c r="V48" s="138" t="s">
        <v>65</v>
      </c>
      <c r="W48" s="138" t="s">
        <v>66</v>
      </c>
      <c r="X48" s="138" t="s">
        <v>67</v>
      </c>
      <c r="Y48" s="138" t="s">
        <v>68</v>
      </c>
      <c r="Z48" s="139"/>
      <c r="AA48" s="139"/>
      <c r="AB48" s="139"/>
      <c r="AC48" s="139"/>
      <c r="AD48" s="139"/>
      <c r="AE48" s="140"/>
      <c r="AF48" s="141"/>
      <c r="AG48" s="140"/>
      <c r="AH48" s="141"/>
      <c r="AI48" s="140"/>
      <c r="AJ48" s="141"/>
      <c r="AK48" s="140"/>
      <c r="AL48" s="141"/>
      <c r="AM48" s="123"/>
      <c r="AN48" s="142"/>
      <c r="AO48" s="4"/>
    </row>
    <row r="49" spans="1:41" x14ac:dyDescent="0.25">
      <c r="C49" s="137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4"/>
      <c r="AF49" s="145"/>
      <c r="AG49" s="144"/>
      <c r="AH49" s="145"/>
      <c r="AI49" s="144"/>
      <c r="AJ49" s="145"/>
      <c r="AK49" s="144"/>
      <c r="AL49" s="145"/>
      <c r="AM49" s="143"/>
      <c r="AO49" s="4"/>
    </row>
    <row r="50" spans="1:41" x14ac:dyDescent="0.25">
      <c r="E50" s="146"/>
      <c r="F50" s="146"/>
      <c r="G50" s="146"/>
      <c r="I50" s="147"/>
      <c r="J50" s="147"/>
      <c r="K50" s="147"/>
      <c r="L50" s="147"/>
      <c r="AO50" s="4"/>
    </row>
    <row r="51" spans="1:41" x14ac:dyDescent="0.25">
      <c r="C51" s="148">
        <v>2001</v>
      </c>
      <c r="D51" s="149" t="s">
        <v>69</v>
      </c>
      <c r="E51" s="150" t="s">
        <v>70</v>
      </c>
      <c r="F51" s="151"/>
      <c r="G51" s="151"/>
      <c r="H51" s="152"/>
      <c r="I51" s="153" t="s">
        <v>71</v>
      </c>
      <c r="J51" s="154"/>
      <c r="K51" s="154"/>
      <c r="L51" s="155"/>
      <c r="N51" s="2" t="s">
        <v>72</v>
      </c>
      <c r="O51" s="2"/>
      <c r="P51" s="2"/>
      <c r="Q51" s="2"/>
      <c r="S51" s="156" t="s">
        <v>73</v>
      </c>
      <c r="T51" s="156"/>
      <c r="U51" s="156"/>
      <c r="V51" s="156"/>
      <c r="X51" s="156" t="s">
        <v>74</v>
      </c>
      <c r="Y51" s="156"/>
      <c r="Z51" s="156"/>
      <c r="AA51" s="156"/>
      <c r="AC51" s="144" t="s">
        <v>75</v>
      </c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45"/>
      <c r="AO51" s="4"/>
    </row>
    <row r="52" spans="1:41" x14ac:dyDescent="0.25">
      <c r="C52" s="158"/>
      <c r="D52" s="159">
        <v>101</v>
      </c>
      <c r="E52" s="160" t="s">
        <v>76</v>
      </c>
      <c r="F52" s="160" t="s">
        <v>77</v>
      </c>
      <c r="G52" s="161" t="s">
        <v>78</v>
      </c>
      <c r="H52" s="162"/>
      <c r="I52" s="163" t="s">
        <v>76</v>
      </c>
      <c r="J52" s="163" t="s">
        <v>77</v>
      </c>
      <c r="K52" s="161" t="s">
        <v>78</v>
      </c>
      <c r="L52" s="162"/>
      <c r="AC52" s="164" t="s">
        <v>79</v>
      </c>
      <c r="AD52" s="164"/>
      <c r="AE52" s="165" t="s">
        <v>80</v>
      </c>
      <c r="AF52" s="165" t="s">
        <v>81</v>
      </c>
      <c r="AG52" s="165" t="s">
        <v>82</v>
      </c>
      <c r="AH52" s="165" t="s">
        <v>82</v>
      </c>
      <c r="AO52" s="4"/>
    </row>
    <row r="53" spans="1:41" x14ac:dyDescent="0.25">
      <c r="D53" s="159">
        <v>101</v>
      </c>
      <c r="E53" s="163" t="s">
        <v>76</v>
      </c>
      <c r="F53" s="163" t="s">
        <v>77</v>
      </c>
      <c r="G53" s="166" t="s">
        <v>78</v>
      </c>
      <c r="H53" s="167"/>
      <c r="I53" s="163" t="s">
        <v>76</v>
      </c>
      <c r="J53" s="163" t="s">
        <v>77</v>
      </c>
      <c r="K53" s="166" t="s">
        <v>78</v>
      </c>
      <c r="L53" s="167"/>
      <c r="AC53" s="168" t="s">
        <v>83</v>
      </c>
      <c r="AD53" s="168"/>
      <c r="AE53" s="143"/>
      <c r="AF53" s="143"/>
      <c r="AG53" s="143"/>
      <c r="AH53" s="143"/>
      <c r="AI53" s="143"/>
      <c r="AJ53" s="143"/>
      <c r="AK53" s="143"/>
      <c r="AL53" s="143"/>
      <c r="AM53" s="143"/>
      <c r="AO53" s="4"/>
    </row>
    <row r="54" spans="1:41" x14ac:dyDescent="0.25">
      <c r="D54" s="169">
        <v>101</v>
      </c>
      <c r="E54" s="170" t="s">
        <v>76</v>
      </c>
      <c r="F54" s="170" t="s">
        <v>77</v>
      </c>
      <c r="G54" s="171" t="s">
        <v>78</v>
      </c>
      <c r="H54" s="172"/>
      <c r="I54" s="170" t="s">
        <v>76</v>
      </c>
      <c r="J54" s="170" t="s">
        <v>77</v>
      </c>
      <c r="K54" s="171" t="s">
        <v>78</v>
      </c>
      <c r="L54" s="172"/>
      <c r="N54" s="173"/>
      <c r="O54" s="173"/>
      <c r="P54" s="173"/>
      <c r="Q54" s="173"/>
      <c r="S54" s="173"/>
      <c r="T54" s="173"/>
      <c r="U54" s="173"/>
      <c r="V54" s="173"/>
      <c r="X54" s="173"/>
      <c r="Y54" s="173"/>
      <c r="Z54" s="173"/>
      <c r="AA54" s="173"/>
      <c r="AC54" s="168" t="s">
        <v>84</v>
      </c>
      <c r="AD54" s="168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4"/>
    </row>
    <row r="55" spans="1:41" x14ac:dyDescent="0.25">
      <c r="N55" s="174" t="s">
        <v>85</v>
      </c>
      <c r="O55" s="174"/>
      <c r="P55" s="174"/>
      <c r="Q55" s="174"/>
      <c r="S55" s="174" t="s">
        <v>86</v>
      </c>
      <c r="T55" s="174"/>
      <c r="U55" s="174"/>
      <c r="V55" s="174"/>
      <c r="X55" s="174" t="s">
        <v>87</v>
      </c>
      <c r="Y55" s="174"/>
      <c r="Z55" s="174"/>
      <c r="AA55" s="174"/>
      <c r="AO55" s="4"/>
    </row>
    <row r="56" spans="1:41" x14ac:dyDescent="0.25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6"/>
    </row>
  </sheetData>
  <mergeCells count="229">
    <mergeCell ref="G54:H54"/>
    <mergeCell ref="K54:L54"/>
    <mergeCell ref="AC54:AD54"/>
    <mergeCell ref="N55:Q55"/>
    <mergeCell ref="S55:V55"/>
    <mergeCell ref="X55:AA55"/>
    <mergeCell ref="AC51:AN51"/>
    <mergeCell ref="G52:H52"/>
    <mergeCell ref="K52:L52"/>
    <mergeCell ref="AC52:AD52"/>
    <mergeCell ref="G53:H53"/>
    <mergeCell ref="K53:L53"/>
    <mergeCell ref="AC53:AD53"/>
    <mergeCell ref="C51:C52"/>
    <mergeCell ref="E51:H51"/>
    <mergeCell ref="I51:L51"/>
    <mergeCell ref="N51:Q51"/>
    <mergeCell ref="S51:V51"/>
    <mergeCell ref="X51:AA51"/>
    <mergeCell ref="C48:C49"/>
    <mergeCell ref="AE48:AF48"/>
    <mergeCell ref="AG48:AH48"/>
    <mergeCell ref="AI48:AJ48"/>
    <mergeCell ref="AK48:AL48"/>
    <mergeCell ref="AE49:AF49"/>
    <mergeCell ref="AG49:AH49"/>
    <mergeCell ref="AI49:AJ49"/>
    <mergeCell ref="AK49:AL49"/>
    <mergeCell ref="AE45:AF45"/>
    <mergeCell ref="AG45:AH45"/>
    <mergeCell ref="AI45:AJ45"/>
    <mergeCell ref="AK45:AL45"/>
    <mergeCell ref="AE46:AF46"/>
    <mergeCell ref="AG46:AH46"/>
    <mergeCell ref="AI46:AJ46"/>
    <mergeCell ref="AK46:AL46"/>
    <mergeCell ref="AE43:AF43"/>
    <mergeCell ref="AG43:AH43"/>
    <mergeCell ref="AI43:AJ43"/>
    <mergeCell ref="AK43:AL43"/>
    <mergeCell ref="AE44:AF44"/>
    <mergeCell ref="AG44:AH44"/>
    <mergeCell ref="AI44:AJ44"/>
    <mergeCell ref="AK44:AL44"/>
    <mergeCell ref="AE41:AF41"/>
    <mergeCell ref="AG41:AH41"/>
    <mergeCell ref="AI41:AJ41"/>
    <mergeCell ref="AK41:AL41"/>
    <mergeCell ref="AE42:AF42"/>
    <mergeCell ref="AG42:AH42"/>
    <mergeCell ref="AI42:AJ42"/>
    <mergeCell ref="AK42:AL42"/>
    <mergeCell ref="AE39:AF39"/>
    <mergeCell ref="AG39:AH39"/>
    <mergeCell ref="AI39:AJ39"/>
    <mergeCell ref="AK39:AL39"/>
    <mergeCell ref="AE40:AF40"/>
    <mergeCell ref="AG40:AH40"/>
    <mergeCell ref="AI40:AJ40"/>
    <mergeCell ref="AK40:AL40"/>
    <mergeCell ref="AE37:AF37"/>
    <mergeCell ref="AG37:AH37"/>
    <mergeCell ref="AI37:AJ37"/>
    <mergeCell ref="AK37:AL37"/>
    <mergeCell ref="AE38:AF38"/>
    <mergeCell ref="AG38:AH38"/>
    <mergeCell ref="AI38:AJ38"/>
    <mergeCell ref="AK38:AL38"/>
    <mergeCell ref="AE35:AF35"/>
    <mergeCell ref="AG35:AH35"/>
    <mergeCell ref="AI35:AJ35"/>
    <mergeCell ref="AK35:AL35"/>
    <mergeCell ref="AE36:AF36"/>
    <mergeCell ref="AG36:AH36"/>
    <mergeCell ref="AI36:AJ36"/>
    <mergeCell ref="AK36:AL36"/>
    <mergeCell ref="AE33:AF33"/>
    <mergeCell ref="AG33:AH33"/>
    <mergeCell ref="AI33:AJ33"/>
    <mergeCell ref="AK33:AL33"/>
    <mergeCell ref="AE34:AF34"/>
    <mergeCell ref="AG34:AH34"/>
    <mergeCell ref="AI34:AJ34"/>
    <mergeCell ref="AK34:AL34"/>
    <mergeCell ref="AE31:AF31"/>
    <mergeCell ref="AG31:AH31"/>
    <mergeCell ref="AI31:AJ31"/>
    <mergeCell ref="AK31:AL31"/>
    <mergeCell ref="AE32:AF32"/>
    <mergeCell ref="AG32:AH32"/>
    <mergeCell ref="AI32:AJ32"/>
    <mergeCell ref="AK32:AL32"/>
    <mergeCell ref="AE29:AF29"/>
    <mergeCell ref="AG29:AH29"/>
    <mergeCell ref="AI29:AJ29"/>
    <mergeCell ref="AK29:AL29"/>
    <mergeCell ref="AE30:AF30"/>
    <mergeCell ref="AG30:AH30"/>
    <mergeCell ref="AI30:AJ30"/>
    <mergeCell ref="AK30:AL30"/>
    <mergeCell ref="AE27:AF27"/>
    <mergeCell ref="AG27:AH27"/>
    <mergeCell ref="AI27:AJ27"/>
    <mergeCell ref="AK27:AL27"/>
    <mergeCell ref="AE28:AF28"/>
    <mergeCell ref="AG28:AH28"/>
    <mergeCell ref="AI28:AJ28"/>
    <mergeCell ref="AK28:AL28"/>
    <mergeCell ref="AE25:AF25"/>
    <mergeCell ref="AG25:AH25"/>
    <mergeCell ref="AI25:AJ25"/>
    <mergeCell ref="AK25:AL25"/>
    <mergeCell ref="AE26:AF26"/>
    <mergeCell ref="AG26:AH26"/>
    <mergeCell ref="AI26:AJ26"/>
    <mergeCell ref="AK26:AL26"/>
    <mergeCell ref="AE23:AF23"/>
    <mergeCell ref="AG23:AH23"/>
    <mergeCell ref="AI23:AJ23"/>
    <mergeCell ref="AK23:AL23"/>
    <mergeCell ref="AE24:AF24"/>
    <mergeCell ref="AG24:AH24"/>
    <mergeCell ref="AI24:AJ24"/>
    <mergeCell ref="AK24:AL24"/>
    <mergeCell ref="AE21:AF21"/>
    <mergeCell ref="AG21:AH21"/>
    <mergeCell ref="AI21:AJ21"/>
    <mergeCell ref="AK21:AL21"/>
    <mergeCell ref="AE22:AF22"/>
    <mergeCell ref="AG22:AH22"/>
    <mergeCell ref="AI22:AJ22"/>
    <mergeCell ref="AK22:AL22"/>
    <mergeCell ref="AE19:AF19"/>
    <mergeCell ref="AG19:AH19"/>
    <mergeCell ref="AI19:AJ19"/>
    <mergeCell ref="AK19:AL19"/>
    <mergeCell ref="AE20:AF20"/>
    <mergeCell ref="AG20:AH20"/>
    <mergeCell ref="AI20:AJ20"/>
    <mergeCell ref="AK20:AL20"/>
    <mergeCell ref="AE17:AF17"/>
    <mergeCell ref="AG17:AH17"/>
    <mergeCell ref="AI17:AJ17"/>
    <mergeCell ref="AK17:AL17"/>
    <mergeCell ref="AE18:AF18"/>
    <mergeCell ref="AG18:AH18"/>
    <mergeCell ref="AI18:AJ18"/>
    <mergeCell ref="AK18:AL18"/>
    <mergeCell ref="AE15:AF15"/>
    <mergeCell ref="AG15:AH15"/>
    <mergeCell ref="AI15:AJ15"/>
    <mergeCell ref="AK15:AL15"/>
    <mergeCell ref="AE16:AF16"/>
    <mergeCell ref="AG16:AH16"/>
    <mergeCell ref="AI16:AJ16"/>
    <mergeCell ref="AK16:AL16"/>
    <mergeCell ref="A14:B14"/>
    <mergeCell ref="C14:D14"/>
    <mergeCell ref="AE14:AF14"/>
    <mergeCell ref="AG14:AH14"/>
    <mergeCell ref="AI14:AJ14"/>
    <mergeCell ref="AK14:AL14"/>
    <mergeCell ref="K12:L12"/>
    <mergeCell ref="Z13:AD13"/>
    <mergeCell ref="AE13:AF13"/>
    <mergeCell ref="AG13:AH13"/>
    <mergeCell ref="AI13:AJ13"/>
    <mergeCell ref="AK13:AL13"/>
    <mergeCell ref="Q10:Q11"/>
    <mergeCell ref="R10:R11"/>
    <mergeCell ref="S10:S11"/>
    <mergeCell ref="T10:T11"/>
    <mergeCell ref="AE10:AM11"/>
    <mergeCell ref="AN10:AN11"/>
    <mergeCell ref="K10:K11"/>
    <mergeCell ref="L10:L11"/>
    <mergeCell ref="M10:M11"/>
    <mergeCell ref="N10:N11"/>
    <mergeCell ref="O10:O11"/>
    <mergeCell ref="P10:P11"/>
    <mergeCell ref="E10:E11"/>
    <mergeCell ref="F10:F11"/>
    <mergeCell ref="G10:G11"/>
    <mergeCell ref="H10:H11"/>
    <mergeCell ref="I10:I11"/>
    <mergeCell ref="J10:J11"/>
    <mergeCell ref="AE6:AL6"/>
    <mergeCell ref="AE7:AJ7"/>
    <mergeCell ref="AK7:AN7"/>
    <mergeCell ref="AE8:AJ8"/>
    <mergeCell ref="AK8:AN8"/>
    <mergeCell ref="AE9:AJ9"/>
    <mergeCell ref="AK9:AN9"/>
    <mergeCell ref="R5:R9"/>
    <mergeCell ref="S5:S9"/>
    <mergeCell ref="T5:T9"/>
    <mergeCell ref="U5:U9"/>
    <mergeCell ref="X5:X9"/>
    <mergeCell ref="Y5:Y9"/>
    <mergeCell ref="W4:W9"/>
    <mergeCell ref="X4:Y4"/>
    <mergeCell ref="Z4:AD9"/>
    <mergeCell ref="B5:B12"/>
    <mergeCell ref="C5:C12"/>
    <mergeCell ref="D5:D12"/>
    <mergeCell ref="N5:N9"/>
    <mergeCell ref="O5:O9"/>
    <mergeCell ref="P5:P9"/>
    <mergeCell ref="Q5:Q9"/>
    <mergeCell ref="Z2:AD2"/>
    <mergeCell ref="E4:E9"/>
    <mergeCell ref="F4:F9"/>
    <mergeCell ref="G4:G9"/>
    <mergeCell ref="H4:H9"/>
    <mergeCell ref="I4:I9"/>
    <mergeCell ref="J4:J9"/>
    <mergeCell ref="K4:K9"/>
    <mergeCell ref="L4:L9"/>
    <mergeCell ref="M4:M9"/>
    <mergeCell ref="A1:D1"/>
    <mergeCell ref="E1:L1"/>
    <mergeCell ref="B2:D4"/>
    <mergeCell ref="F2:M2"/>
    <mergeCell ref="N2:U2"/>
    <mergeCell ref="V2:Y2"/>
    <mergeCell ref="N4:P4"/>
    <mergeCell ref="Q4:S4"/>
    <mergeCell ref="T4:U4"/>
    <mergeCell ref="V4:V9"/>
  </mergeCells>
  <conditionalFormatting sqref="K12:L12">
    <cfRule type="notContainsBlanks" dxfId="0" priority="1">
      <formula>LEN(TRIM(K12))&gt;0</formula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Häfner</dc:creator>
  <cp:lastModifiedBy>Nikolas Häfner</cp:lastModifiedBy>
  <dcterms:created xsi:type="dcterms:W3CDTF">2026-07-01T14:21:42Z</dcterms:created>
  <dcterms:modified xsi:type="dcterms:W3CDTF">2026-07-01T14:23:14Z</dcterms:modified>
</cp:coreProperties>
</file>